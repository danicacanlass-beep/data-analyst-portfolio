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nica\Downloads\"/>
    </mc:Choice>
  </mc:AlternateContent>
  <xr:revisionPtr revIDLastSave="0" documentId="13_ncr:1_{0766DE33-32D7-4530-8CD4-9CD0E91674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 Data" sheetId="2" r:id="rId1"/>
    <sheet name="Product Lookup" sheetId="3" r:id="rId2"/>
    <sheet name="Sales by Region" sheetId="6" r:id="rId3"/>
    <sheet name="Profit by Category" sheetId="7" r:id="rId4"/>
    <sheet name="Sales by Month" sheetId="8" r:id="rId5"/>
  </sheets>
  <calcPr calcId="191029"/>
  <pivotCaches>
    <pivotCache cacheId="4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<sst xmlns="http://schemas.openxmlformats.org/spreadsheetml/2006/main" count="973" uniqueCount="237">
  <si>
    <t>Order ID</t>
  </si>
  <si>
    <t>Order Date</t>
  </si>
  <si>
    <t>Region</t>
  </si>
  <si>
    <t>Category</t>
  </si>
  <si>
    <t>Sub-Category</t>
  </si>
  <si>
    <t>Product Name</t>
  </si>
  <si>
    <t>Sales</t>
  </si>
  <si>
    <t>Profit</t>
  </si>
  <si>
    <t>ORD-1054</t>
  </si>
  <si>
    <t>Office Supplies</t>
  </si>
  <si>
    <t>Binders</t>
  </si>
  <si>
    <t>View Binder</t>
  </si>
  <si>
    <t>ORD-1061</t>
  </si>
  <si>
    <t>Technology</t>
  </si>
  <si>
    <t>Accessories</t>
  </si>
  <si>
    <t>Wireless Mouse</t>
  </si>
  <si>
    <t>ORD-1152</t>
  </si>
  <si>
    <t>Furniture</t>
  </si>
  <si>
    <t>Tables</t>
  </si>
  <si>
    <t>Round Table</t>
  </si>
  <si>
    <t>ORD-1075</t>
  </si>
  <si>
    <t>Chairs</t>
  </si>
  <si>
    <t>Task Chair</t>
  </si>
  <si>
    <t>ORD-1071</t>
  </si>
  <si>
    <t>Machines</t>
  </si>
  <si>
    <t>Label Printer</t>
  </si>
  <si>
    <t>ORD-1008</t>
  </si>
  <si>
    <t>Bookcases</t>
  </si>
  <si>
    <t>Wood Bookcase</t>
  </si>
  <si>
    <t>ORD-1080</t>
  </si>
  <si>
    <t>Storage</t>
  </si>
  <si>
    <t>Storage Box</t>
  </si>
  <si>
    <t>ORD-1090</t>
  </si>
  <si>
    <t>South</t>
  </si>
  <si>
    <t>Conference Table</t>
  </si>
  <si>
    <t>ORD-1050</t>
  </si>
  <si>
    <t>ORD-1070</t>
  </si>
  <si>
    <t>ORD-1179</t>
  </si>
  <si>
    <t>North</t>
  </si>
  <si>
    <t>ORD-1160</t>
  </si>
  <si>
    <t>3-Ring Binder</t>
  </si>
  <si>
    <t>ORD-1042</t>
  </si>
  <si>
    <t>East</t>
  </si>
  <si>
    <t>ORD-1077</t>
  </si>
  <si>
    <t>Laptop Stand</t>
  </si>
  <si>
    <t>ORD-1058</t>
  </si>
  <si>
    <t>Phones</t>
  </si>
  <si>
    <t>Office Phone</t>
  </si>
  <si>
    <t>ORD-1158</t>
  </si>
  <si>
    <t>ORD-1031</t>
  </si>
  <si>
    <t>ORD-1101</t>
  </si>
  <si>
    <t>ORD-1113</t>
  </si>
  <si>
    <t>ORD-1172</t>
  </si>
  <si>
    <t>ORD-1103</t>
  </si>
  <si>
    <t>ORD-1034</t>
  </si>
  <si>
    <t>Metal Bookcase</t>
  </si>
  <si>
    <t>ORD-1065</t>
  </si>
  <si>
    <t>File Cabinet</t>
  </si>
  <si>
    <t>ORD-1143</t>
  </si>
  <si>
    <t>ORD-1081</t>
  </si>
  <si>
    <t>ORD-1074</t>
  </si>
  <si>
    <t>Smartphone X</t>
  </si>
  <si>
    <t>ORD-1000</t>
  </si>
  <si>
    <t>USB Cable</t>
  </si>
  <si>
    <t>ORD-1051</t>
  </si>
  <si>
    <t>ORD-1011</t>
  </si>
  <si>
    <t>ORD-1002</t>
  </si>
  <si>
    <t>ORD-1110</t>
  </si>
  <si>
    <t>ORD-1175</t>
  </si>
  <si>
    <t>ORD-1145</t>
  </si>
  <si>
    <t>ORD-1168</t>
  </si>
  <si>
    <t>ORD-1091</t>
  </si>
  <si>
    <t>ORD-1097</t>
  </si>
  <si>
    <t>ORD-1173</t>
  </si>
  <si>
    <t>ORD-1001</t>
  </si>
  <si>
    <t>Executive Chair</t>
  </si>
  <si>
    <t>ORD-1022</t>
  </si>
  <si>
    <t>ORD-1066</t>
  </si>
  <si>
    <t>Paper</t>
  </si>
  <si>
    <t>Copy Paper</t>
  </si>
  <si>
    <t>ORD-1014</t>
  </si>
  <si>
    <t>ORD-1049</t>
  </si>
  <si>
    <t>West</t>
  </si>
  <si>
    <t>Cardstock</t>
  </si>
  <si>
    <t>ORD-1122</t>
  </si>
  <si>
    <t>ORD-1114</t>
  </si>
  <si>
    <t>ORD-1131</t>
  </si>
  <si>
    <t>ORD-1117</t>
  </si>
  <si>
    <t>ORD-1010</t>
  </si>
  <si>
    <t>ORD-1167</t>
  </si>
  <si>
    <t>ORD-1107</t>
  </si>
  <si>
    <t>ORD-1177</t>
  </si>
  <si>
    <t>ORD-1018</t>
  </si>
  <si>
    <t>ORD-1007</t>
  </si>
  <si>
    <t>ORD-1136</t>
  </si>
  <si>
    <t>ORD-1045</t>
  </si>
  <si>
    <t>ORD-1006</t>
  </si>
  <si>
    <t>ORD-1035</t>
  </si>
  <si>
    <t>ORD-1159</t>
  </si>
  <si>
    <t>ORD-1119</t>
  </si>
  <si>
    <t>ORD-1083</t>
  </si>
  <si>
    <t>ORD-1041</t>
  </si>
  <si>
    <t>ORD-1003</t>
  </si>
  <si>
    <t>ORD-1111</t>
  </si>
  <si>
    <t>ORD-1055</t>
  </si>
  <si>
    <t>ORD-1116</t>
  </si>
  <si>
    <t>ORD-1025</t>
  </si>
  <si>
    <t>ORD-1105</t>
  </si>
  <si>
    <t>ORD-1053</t>
  </si>
  <si>
    <t>ORD-1155</t>
  </si>
  <si>
    <t>ORD-1109</t>
  </si>
  <si>
    <t>ORD-1162</t>
  </si>
  <si>
    <t>ORD-1148</t>
  </si>
  <si>
    <t>ORD-1059</t>
  </si>
  <si>
    <t>ORD-1102</t>
  </si>
  <si>
    <t>ORD-1073</t>
  </si>
  <si>
    <t>ORD-1047</t>
  </si>
  <si>
    <t>ORD-1118</t>
  </si>
  <si>
    <t>ORD-1060</t>
  </si>
  <si>
    <t>ORD-1125</t>
  </si>
  <si>
    <t>ORD-1147</t>
  </si>
  <si>
    <t>ORD-1068</t>
  </si>
  <si>
    <t>ORD-1029</t>
  </si>
  <si>
    <t>ORD-1057</t>
  </si>
  <si>
    <t>ORD-1140</t>
  </si>
  <si>
    <t>ORD-1078</t>
  </si>
  <si>
    <t>ORD-1139</t>
  </si>
  <si>
    <t>ORD-1030</t>
  </si>
  <si>
    <t>ORD-1126</t>
  </si>
  <si>
    <t>ORD-1052</t>
  </si>
  <si>
    <t>ORD-1005</t>
  </si>
  <si>
    <t>ORD-1056</t>
  </si>
  <si>
    <t>ORD-1135</t>
  </si>
  <si>
    <t>ORD-1161</t>
  </si>
  <si>
    <t>ORD-1088</t>
  </si>
  <si>
    <t>ORD-1124</t>
  </si>
  <si>
    <t>ORD-1141</t>
  </si>
  <si>
    <t>ORD-1174</t>
  </si>
  <si>
    <t>ORD-1076</t>
  </si>
  <si>
    <t>ORD-1150</t>
  </si>
  <si>
    <t>ORD-1163</t>
  </si>
  <si>
    <t>ORD-1164</t>
  </si>
  <si>
    <t>ORD-1123</t>
  </si>
  <si>
    <t>ORD-1132</t>
  </si>
  <si>
    <t>ORD-1127</t>
  </si>
  <si>
    <t>ORD-1067</t>
  </si>
  <si>
    <t>ORD-1094</t>
  </si>
  <si>
    <t>ORD-1106</t>
  </si>
  <si>
    <t>ORD-1069</t>
  </si>
  <si>
    <t>ORD-1120</t>
  </si>
  <si>
    <t>ORD-1144</t>
  </si>
  <si>
    <t>ORD-1012</t>
  </si>
  <si>
    <t>ORD-1137</t>
  </si>
  <si>
    <t>ORD-1170</t>
  </si>
  <si>
    <t>ORD-1037</t>
  </si>
  <si>
    <t>ORD-1009</t>
  </si>
  <si>
    <t>ORD-1019</t>
  </si>
  <si>
    <t>ORD-1017</t>
  </si>
  <si>
    <t>ORD-1028</t>
  </si>
  <si>
    <t>ORD-1062</t>
  </si>
  <si>
    <t>ORD-1115</t>
  </si>
  <si>
    <t>ORD-1043</t>
  </si>
  <si>
    <t>ORD-1027</t>
  </si>
  <si>
    <t>ORD-1178</t>
  </si>
  <si>
    <t>ORD-1130</t>
  </si>
  <si>
    <t>ORD-1039</t>
  </si>
  <si>
    <t>ORD-1046</t>
  </si>
  <si>
    <t>ORD-1004</t>
  </si>
  <si>
    <t>ORD-1092</t>
  </si>
  <si>
    <t>ORD-1108</t>
  </si>
  <si>
    <t>ORD-1023</t>
  </si>
  <si>
    <t>ORD-1032</t>
  </si>
  <si>
    <t>ORD-1149</t>
  </si>
  <si>
    <t>ORD-1096</t>
  </si>
  <si>
    <t>ORD-1138</t>
  </si>
  <si>
    <t>ORD-1171</t>
  </si>
  <si>
    <t>ORD-1033</t>
  </si>
  <si>
    <t>ORD-1100</t>
  </si>
  <si>
    <t>ORD-1079</t>
  </si>
  <si>
    <t>ORD-1089</t>
  </si>
  <si>
    <t>ORD-1036</t>
  </si>
  <si>
    <t>ORD-1020</t>
  </si>
  <si>
    <t>ORD-1151</t>
  </si>
  <si>
    <t>ORD-1176</t>
  </si>
  <si>
    <t>ORD-1064</t>
  </si>
  <si>
    <t>ORD-1157</t>
  </si>
  <si>
    <t>ORD-1098</t>
  </si>
  <si>
    <t>ORD-1142</t>
  </si>
  <si>
    <t>ORD-1024</t>
  </si>
  <si>
    <t>ORD-1084</t>
  </si>
  <si>
    <t>ORD-1016</t>
  </si>
  <si>
    <t>ORD-1085</t>
  </si>
  <si>
    <t>ORD-1013</t>
  </si>
  <si>
    <t>ORD-1153</t>
  </si>
  <si>
    <t>ORD-1086</t>
  </si>
  <si>
    <t>ORD-1104</t>
  </si>
  <si>
    <t>ORD-1099</t>
  </si>
  <si>
    <t>ORD-1072</t>
  </si>
  <si>
    <t>ORD-1095</t>
  </si>
  <si>
    <t>ORD-1093</t>
  </si>
  <si>
    <t>ORD-1040</t>
  </si>
  <si>
    <t>ORD-1156</t>
  </si>
  <si>
    <t>ORD-1133</t>
  </si>
  <si>
    <t>ORD-1134</t>
  </si>
  <si>
    <t>ORD-1169</t>
  </si>
  <si>
    <t>ORD-1112</t>
  </si>
  <si>
    <t>ORD-1063</t>
  </si>
  <si>
    <t>ORD-1044</t>
  </si>
  <si>
    <t>ORD-1165</t>
  </si>
  <si>
    <t>ORD-1129</t>
  </si>
  <si>
    <t>ORD-1021</t>
  </si>
  <si>
    <t>ORD-1087</t>
  </si>
  <si>
    <t>ORD-1026</t>
  </si>
  <si>
    <t>ORD-1015</t>
  </si>
  <si>
    <t>ORD-1038</t>
  </si>
  <si>
    <t>ORD-1128</t>
  </si>
  <si>
    <t>ORD-1121</t>
  </si>
  <si>
    <t>ORD-1154</t>
  </si>
  <si>
    <t>ORD-1082</t>
  </si>
  <si>
    <t>ORD-1048</t>
  </si>
  <si>
    <t>ORD-1166</t>
  </si>
  <si>
    <t>ORD-1146</t>
  </si>
  <si>
    <t>Sum of Sales</t>
  </si>
  <si>
    <t>Row Labels</t>
  </si>
  <si>
    <t>Grand Total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</si>
  <si>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</si>
  <si>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</si>
  <si>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</si>
  <si>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</si>
  <si>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</si>
  <si>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</si>
  <si>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</si>
  <si>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</si>
  <si>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</si>
  <si>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</si>
  <si>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</si>
  <si>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Sum of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</si>
</sst>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165" fontId="2" fillId="0" borderId="0" xfId="0" applyNumberFormat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[excel_practice_workbook.xlsx]Sales by Region!PivotTable4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32889</c:v>
                </c:pt>
                <c:pt idx="1">
                  <c:v>26521.979999999996</c:v>
                </c:pt>
                <c:pt idx="2">
                  <c:v>39544.15</c:v>
                </c:pt>
                <c:pt idx="3">
                  <c:v>33320.519999999997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7-454F-A950-EEDB172B6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801296"/>
        <c:axId val="1753808048"/>
      </c:barChart>
      <c:catAx>
        <c:axId val="174580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808048"/>
        <c:crosses val="autoZero"/>
        <c:auto val="1"/>
        <c:lblAlgn val="ctr"/>
        <c:lblOffset val="100"/>
        <c:noMultiLvlLbl val="0"/>
      </c:catAx>
      <c:valAx>
        <c:axId val="175380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80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[excel_practice_workbook.xlsx]Sales by Month!PivotTable6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Sales</a:t>
            </a:r>
            <a:r>
              <a:rPr lang="en-PH" baseline="0"/>
              <a:t> Trend by Month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by Month'!$A$4:$A$14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'Sales by Month'!$B$4:$B$14</c:f>
              <c:numCache>
                <c:formatCode>General</c:formatCode>
                <c:ptCount val="10"/>
                <c:pt idx="0">
                  <c:v>8922.4499999999989</c:v>
                </c:pt>
                <c:pt idx="1">
                  <c:v>17698.54</c:v>
                </c:pt>
                <c:pt idx="2">
                  <c:v>18644.489999999998</c:v>
                </c:pt>
                <c:pt idx="3">
                  <c:v>8339.56</c:v>
                </c:pt>
                <c:pt idx="4">
                  <c:v>13211.710000000001</c:v>
                </c:pt>
                <c:pt idx="5">
                  <c:v>13583.170000000002</c:v>
                </c:pt>
                <c:pt idx="6">
                  <c:v>20236.410000000003</c:v>
                </c:pt>
                <c:pt idx="7">
                  <c:v>15531.77</c:v>
                </c:pt>
                <c:pt idx="8">
                  <c:v>7187.9699999999993</c:v>
                </c:pt>
                <c:pt idx="9">
                  <c:v>8919.58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3F-40F5-B6EA-36B248E97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994447"/>
        <c:axId val="1920942000"/>
      </c:lineChart>
      <c:catAx>
        <c:axId val="6499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942000"/>
        <c:crosses val="autoZero"/>
        <c:auto val="1"/>
        <c:lblAlgn val="ctr"/>
        <c:lblOffset val="100"/>
        <c:noMultiLvlLbl val="0"/>
      </c:catAx>
      <c:valAx>
        <c:axId val="192094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9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2</xdr:row>
      <xdr:rowOff>82550</xdr:rowOff>
    </xdr:from>
    <xdr:to>
      <xdr:col>9</xdr:col>
      <xdr:colOff>571500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63A48F-29ED-EE5F-BE7F-A32A0080E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2</xdr:row>
      <xdr:rowOff>82550</xdr:rowOff>
    </xdr:from>
    <xdr:to>
      <xdr:col>9</xdr:col>
      <xdr:colOff>571500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414ACD-C247-B6B7-B9B6-107F3EFD15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ca" refreshedDate="46280.749753124997" createdVersion="8" refreshedVersion="8" minRefreshableVersion="3" recordCount="180" xr:uid="{46E9C500-908E-496A-8FFF-158063340B83}">
  <cacheSource type="worksheet">
    <worksheetSource ref="A1:H181" sheet="Raw Data"/>
  </cacheSource>
  <cacheFields count="10">
    <cacheField name="Order ID" numFmtId="0">
      <sharedItems/>
    </cacheField>
    <cacheField name="Order Date" numFmtId="165">
      <sharedItems containsSemiMixedTypes="0" containsNonDate="0" containsDate="1" containsString="0" minDate="2024-01-05T00:00:00" maxDate="2024-10-28T00:00:00" count="134">
        <d v="2024-06-09T00:00:00"/>
        <d v="2024-07-23T00:00:00"/>
        <d v="2024-02-07T00:00:00"/>
        <d v="2024-02-28T00:00:00"/>
        <d v="2024-02-12T00:00:00"/>
        <d v="2024-02-06T00:00:00"/>
        <d v="2024-03-19T00:00:00"/>
        <d v="2024-07-03T00:00:00"/>
        <d v="2024-06-28T00:00:00"/>
        <d v="2024-03-25T00:00:00"/>
        <d v="2024-02-09T00:00:00"/>
        <d v="2024-01-23T00:00:00"/>
        <d v="2024-07-22T00:00:00"/>
        <d v="2024-03-27T00:00:00"/>
        <d v="2024-03-03T00:00:00"/>
        <d v="2024-03-20T00:00:00"/>
        <d v="2024-08-12T00:00:00"/>
        <d v="2024-04-07T00:00:00"/>
        <d v="2024-02-15T00:00:00"/>
        <d v="2024-01-14T00:00:00"/>
        <d v="2024-10-23T00:00:00"/>
        <d v="2024-05-20T00:00:00"/>
        <d v="2024-04-21T00:00:00"/>
        <d v="2024-08-11T00:00:00"/>
        <d v="2024-01-16T00:00:00"/>
        <d v="2024-04-24T00:00:00"/>
        <d v="2024-10-24T00:00:00"/>
        <d v="2024-08-22T00:00:00"/>
        <d v="2024-04-22T00:00:00"/>
        <d v="2024-05-02T00:00:00"/>
        <d v="2024-04-30T00:00:00"/>
        <d v="2024-01-11T00:00:00"/>
        <d v="2024-05-10T00:00:00"/>
        <d v="2024-03-05T00:00:00"/>
        <d v="2024-07-21T00:00:00"/>
        <d v="2024-05-06T00:00:00"/>
        <d v="2024-03-11T00:00:00"/>
        <d v="2024-09-27T00:00:00"/>
        <d v="2024-04-26T00:00:00"/>
        <d v="2024-02-20T00:00:00"/>
        <d v="2024-09-16T00:00:00"/>
        <d v="2024-05-17T00:00:00"/>
        <d v="2024-06-10T00:00:00"/>
        <d v="2024-07-04T00:00:00"/>
        <d v="2024-08-20T00:00:00"/>
        <d v="2024-10-12T00:00:00"/>
        <d v="2024-02-22T00:00:00"/>
        <d v="2024-01-24T00:00:00"/>
        <d v="2024-05-13T00:00:00"/>
        <d v="2024-06-29T00:00:00"/>
        <d v="2024-01-08T00:00:00"/>
        <d v="2024-04-03T00:00:00"/>
        <d v="2024-09-15T00:00:00"/>
        <d v="2024-05-22T00:00:00"/>
        <d v="2024-08-24T00:00:00"/>
        <d v="2024-06-16T00:00:00"/>
        <d v="2024-06-13T00:00:00"/>
        <d v="2024-02-18T00:00:00"/>
        <d v="2024-02-16T00:00:00"/>
        <d v="2024-06-22T00:00:00"/>
        <d v="2024-05-16T00:00:00"/>
        <d v="2024-03-14T00:00:00"/>
        <d v="2024-04-25T00:00:00"/>
        <d v="2024-08-28T00:00:00"/>
        <d v="2024-07-29T00:00:00"/>
        <d v="2024-09-10T00:00:00"/>
        <d v="2024-08-21T00:00:00"/>
        <d v="2024-05-03T00:00:00"/>
        <d v="2024-03-15T00:00:00"/>
        <d v="2024-10-21T00:00:00"/>
        <d v="2024-09-05T00:00:00"/>
        <d v="2024-06-04T00:00:00"/>
        <d v="2024-10-16T00:00:00"/>
        <d v="2024-08-25T00:00:00"/>
        <d v="2024-05-15T00:00:00"/>
        <d v="2024-02-10T00:00:00"/>
        <d v="2024-03-30T00:00:00"/>
        <d v="2024-08-27T00:00:00"/>
        <d v="2024-05-08T00:00:00"/>
        <d v="2024-05-05T00:00:00"/>
        <d v="2024-07-08T00:00:00"/>
        <d v="2024-09-28T00:00:00"/>
        <d v="2024-03-24T00:00:00"/>
        <d v="2024-08-19T00:00:00"/>
        <d v="2024-10-17T00:00:00"/>
        <d v="2024-01-15T00:00:00"/>
        <d v="2024-06-07T00:00:00"/>
        <d v="2024-07-27T00:00:00"/>
        <d v="2024-02-13T00:00:00"/>
        <d v="2024-09-06T00:00:00"/>
        <d v="2024-02-01T00:00:00"/>
        <d v="2024-07-07T00:00:00"/>
        <d v="2024-01-26T00:00:00"/>
        <d v="2024-09-22T00:00:00"/>
        <d v="2024-03-17T00:00:00"/>
        <d v="2024-10-14T00:00:00"/>
        <d v="2024-03-12T00:00:00"/>
        <d v="2024-01-05T00:00:00"/>
        <d v="2024-10-10T00:00:00"/>
        <d v="2024-07-02T00:00:00"/>
        <d v="2024-09-02T00:00:00"/>
        <d v="2024-07-30T00:00:00"/>
        <d v="2024-01-31T00:00:00"/>
        <d v="2024-08-29T00:00:00"/>
        <d v="2024-08-01T00:00:00"/>
        <d v="2024-02-05T00:00:00"/>
        <d v="2024-01-07T00:00:00"/>
        <d v="2024-04-08T00:00:00"/>
        <d v="2024-03-31T00:00:00"/>
        <d v="2024-08-18T00:00:00"/>
        <d v="2024-08-09T00:00:00"/>
        <d v="2024-05-29T00:00:00"/>
        <d v="2024-07-31T00:00:00"/>
        <d v="2024-10-11T00:00:00"/>
        <d v="2024-09-13T00:00:00"/>
        <d v="2024-03-22T00:00:00"/>
        <d v="2024-07-14T00:00:00"/>
        <d v="2024-04-23T00:00:00"/>
        <d v="2024-09-24T00:00:00"/>
        <d v="2024-07-24T00:00:00"/>
        <d v="2024-05-19T00:00:00"/>
        <d v="2024-07-10T00:00:00"/>
        <d v="2024-07-13T00:00:00"/>
        <d v="2024-08-14T00:00:00"/>
        <d v="2024-08-08T00:00:00"/>
        <d v="2024-10-19T00:00:00"/>
        <d v="2024-06-08T00:00:00"/>
        <d v="2024-08-05T00:00:00"/>
        <d v="2024-06-23T00:00:00"/>
        <d v="2024-05-25T00:00:00"/>
        <d v="2024-10-04T00:00:00"/>
        <d v="2024-05-04T00:00:00"/>
        <d v="2024-06-25T00:00:00"/>
        <d v="2024-10-27T00:00:00"/>
      </sharedItems>
      <fieldGroup par="8"/>
    </cacheField>
    <cacheField name="Region" numFmtId="0">
      <sharedItems count="6">
        <s v="West"/>
        <s v="North"/>
        <s v="East"/>
        <s v="South"/>
        <s v="East " u="1"/>
        <s v="South " u="1"/>
      </sharedItems>
    </cacheField>
    <cacheField name="Category" numFmtId="0">
      <sharedItems count="3">
        <s v="Office Supplies"/>
        <s v="Technology"/>
        <s v="Furniture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" maxValue="1497.91"/>
    </cacheField>
    <cacheField name="Profit" numFmtId="0">
      <sharedItems containsSemiMixedTypes="0" containsString="0" containsNumber="1" minValue="-158.27000000000001" maxValue="444.89"/>
    </cacheField>
    <cacheField name="Months (Order Date)" numFmtId="0" databaseField="0">
      <fieldGroup base="1">
        <rangePr groupBy="months" startDate="2024-01-05T00:00:00" endDate="2024-10-28T00:00:00"/>
        <groupItems count="14">
          <s v="&lt;1/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8/2024"/>
        </groupItems>
      </fieldGroup>
    </cacheField>
    <cacheField name="Profit Margin" numFmtId="0" formula="Profit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s v="ORD-1054"/>
    <x v="0"/>
    <x v="0"/>
    <x v="0"/>
    <s v="Binders"/>
    <s v="View Binder"/>
    <n v="1001.81"/>
    <n v="-87.85"/>
  </r>
  <r>
    <s v="ORD-1061"/>
    <x v="1"/>
    <x v="0"/>
    <x v="1"/>
    <s v="Accessories"/>
    <s v="Wireless Mouse"/>
    <n v="381.1"/>
    <n v="67.849999999999994"/>
  </r>
  <r>
    <s v="ORD-1152"/>
    <x v="2"/>
    <x v="1"/>
    <x v="2"/>
    <s v="Tables"/>
    <s v="Round Table"/>
    <n v="0"/>
    <n v="14.94"/>
  </r>
  <r>
    <s v="ORD-1075"/>
    <x v="3"/>
    <x v="2"/>
    <x v="2"/>
    <s v="Chairs"/>
    <s v="Task Chair"/>
    <n v="854.67"/>
    <n v="-35.06"/>
  </r>
  <r>
    <s v="ORD-1071"/>
    <x v="4"/>
    <x v="2"/>
    <x v="1"/>
    <s v="Machines"/>
    <s v="Label Printer"/>
    <n v="971.27"/>
    <n v="-79.790000000000006"/>
  </r>
  <r>
    <s v="ORD-1008"/>
    <x v="5"/>
    <x v="3"/>
    <x v="2"/>
    <s v="Bookcases"/>
    <s v="Wood Bookcase"/>
    <n v="921.51"/>
    <n v="-59.37"/>
  </r>
  <r>
    <s v="ORD-1080"/>
    <x v="6"/>
    <x v="2"/>
    <x v="0"/>
    <s v="Storage"/>
    <s v="Storage Box"/>
    <n v="664.52"/>
    <n v="144.13"/>
  </r>
  <r>
    <s v="ORD-1090"/>
    <x v="7"/>
    <x v="3"/>
    <x v="2"/>
    <s v="Tables"/>
    <s v="Conference Table"/>
    <n v="285.57"/>
    <n v="-40.82"/>
  </r>
  <r>
    <s v="ORD-1050"/>
    <x v="8"/>
    <x v="1"/>
    <x v="0"/>
    <s v="Binders"/>
    <s v="View Binder"/>
    <n v="969.39"/>
    <n v="48.31"/>
  </r>
  <r>
    <s v="ORD-1070"/>
    <x v="9"/>
    <x v="2"/>
    <x v="0"/>
    <s v="Storage"/>
    <s v="Storage Box"/>
    <n v="1263.95"/>
    <n v="391.53"/>
  </r>
  <r>
    <s v="ORD-1179"/>
    <x v="10"/>
    <x v="1"/>
    <x v="2"/>
    <s v="Tables"/>
    <s v="Round Table"/>
    <n v="974.11"/>
    <n v="329.92"/>
  </r>
  <r>
    <s v="ORD-1160"/>
    <x v="8"/>
    <x v="0"/>
    <x v="0"/>
    <s v="Binders"/>
    <s v="3-Ring Binder"/>
    <n v="1271.1500000000001"/>
    <n v="42.94"/>
  </r>
  <r>
    <s v="ORD-1042"/>
    <x v="11"/>
    <x v="2"/>
    <x v="1"/>
    <s v="Accessories"/>
    <s v="Wireless Mouse"/>
    <n v="25.25"/>
    <n v="5.95"/>
  </r>
  <r>
    <s v="ORD-1077"/>
    <x v="12"/>
    <x v="2"/>
    <x v="1"/>
    <s v="Machines"/>
    <s v="Laptop Stand"/>
    <n v="1413.38"/>
    <n v="-71.849999999999994"/>
  </r>
  <r>
    <s v="ORD-1058"/>
    <x v="13"/>
    <x v="1"/>
    <x v="1"/>
    <s v="Phones"/>
    <s v="Office Phone"/>
    <n v="995.1"/>
    <n v="-8.07"/>
  </r>
  <r>
    <s v="ORD-1158"/>
    <x v="14"/>
    <x v="0"/>
    <x v="2"/>
    <s v="Bookcases"/>
    <s v="Wood Bookcase"/>
    <n v="628"/>
    <n v="180.11"/>
  </r>
  <r>
    <s v="ORD-1031"/>
    <x v="15"/>
    <x v="3"/>
    <x v="1"/>
    <s v="Machines"/>
    <s v="Laptop Stand"/>
    <n v="301.05"/>
    <n v="-12.39"/>
  </r>
  <r>
    <s v="ORD-1101"/>
    <x v="16"/>
    <x v="2"/>
    <x v="2"/>
    <s v="Tables"/>
    <s v="Round Table"/>
    <n v="204.04"/>
    <n v="39.65"/>
  </r>
  <r>
    <s v="ORD-1113"/>
    <x v="17"/>
    <x v="0"/>
    <x v="1"/>
    <s v="Phones"/>
    <s v="Office Phone"/>
    <n v="1384.36"/>
    <n v="144.13999999999999"/>
  </r>
  <r>
    <s v="ORD-1172"/>
    <x v="18"/>
    <x v="3"/>
    <x v="1"/>
    <s v="Accessories"/>
    <s v="Wireless Mouse"/>
    <n v="666.33"/>
    <n v="-64.680000000000007"/>
  </r>
  <r>
    <s v="ORD-1103"/>
    <x v="19"/>
    <x v="1"/>
    <x v="0"/>
    <s v="Storage"/>
    <s v="Storage Box"/>
    <n v="155.16"/>
    <n v="51.35"/>
  </r>
  <r>
    <s v="ORD-1034"/>
    <x v="20"/>
    <x v="0"/>
    <x v="2"/>
    <s v="Bookcases"/>
    <s v="Metal Bookcase"/>
    <n v="899.89"/>
    <n v="143.69999999999999"/>
  </r>
  <r>
    <s v="ORD-1065"/>
    <x v="21"/>
    <x v="3"/>
    <x v="0"/>
    <s v="Storage"/>
    <s v="File Cabinet"/>
    <n v="671.01"/>
    <n v="138.75"/>
  </r>
  <r>
    <s v="ORD-1143"/>
    <x v="22"/>
    <x v="1"/>
    <x v="2"/>
    <s v="Bookcases"/>
    <s v="Wood Bookcase"/>
    <n v="676.21"/>
    <n v="219.96"/>
  </r>
  <r>
    <s v="ORD-1081"/>
    <x v="23"/>
    <x v="3"/>
    <x v="1"/>
    <s v="Accessories"/>
    <s v="Wireless Mouse"/>
    <n v="1242.0899999999999"/>
    <n v="181.64"/>
  </r>
  <r>
    <s v="ORD-1074"/>
    <x v="24"/>
    <x v="3"/>
    <x v="1"/>
    <s v="Phones"/>
    <s v="Smartphone X"/>
    <n v="1425.43"/>
    <n v="-71.73"/>
  </r>
  <r>
    <s v="ORD-1000"/>
    <x v="25"/>
    <x v="2"/>
    <x v="1"/>
    <s v="Accessories"/>
    <s v="USB Cable"/>
    <n v="226.52"/>
    <n v="-22.37"/>
  </r>
  <r>
    <s v="ORD-1051"/>
    <x v="26"/>
    <x v="3"/>
    <x v="2"/>
    <s v="Tables"/>
    <s v="Conference Table"/>
    <n v="1444.55"/>
    <n v="-24.94"/>
  </r>
  <r>
    <s v="ORD-1011"/>
    <x v="27"/>
    <x v="3"/>
    <x v="1"/>
    <s v="Accessories"/>
    <s v="Wireless Mouse"/>
    <n v="231.45"/>
    <n v="-18.559999999999999"/>
  </r>
  <r>
    <s v="ORD-1002"/>
    <x v="28"/>
    <x v="0"/>
    <x v="1"/>
    <s v="Machines"/>
    <s v="Laptop Stand"/>
    <n v="684.83"/>
    <n v="-7.47"/>
  </r>
  <r>
    <s v="ORD-1110"/>
    <x v="29"/>
    <x v="1"/>
    <x v="0"/>
    <s v="Binders"/>
    <s v="3-Ring Binder"/>
    <n v="1070.48"/>
    <n v="5.75"/>
  </r>
  <r>
    <s v="ORD-1175"/>
    <x v="30"/>
    <x v="3"/>
    <x v="1"/>
    <s v="Machines"/>
    <s v="Label Printer"/>
    <n v="172.15"/>
    <n v="-3.79"/>
  </r>
  <r>
    <s v="ORD-1145"/>
    <x v="31"/>
    <x v="2"/>
    <x v="2"/>
    <s v="Bookcases"/>
    <s v="Metal Bookcase"/>
    <n v="94.86"/>
    <n v="1.59"/>
  </r>
  <r>
    <s v="ORD-1168"/>
    <x v="32"/>
    <x v="2"/>
    <x v="0"/>
    <s v="Binders"/>
    <s v="3-Ring Binder"/>
    <n v="448.38"/>
    <n v="-40.36"/>
  </r>
  <r>
    <s v="ORD-1091"/>
    <x v="33"/>
    <x v="0"/>
    <x v="2"/>
    <s v="Chairs"/>
    <s v="Task Chair"/>
    <n v="964.05"/>
    <n v="218.26"/>
  </r>
  <r>
    <s v="ORD-1097"/>
    <x v="29"/>
    <x v="0"/>
    <x v="1"/>
    <s v="Phones"/>
    <s v="Smartphone X"/>
    <n v="277.24"/>
    <n v="-31.18"/>
  </r>
  <r>
    <s v="ORD-1173"/>
    <x v="34"/>
    <x v="1"/>
    <x v="0"/>
    <s v="Storage"/>
    <s v="File Cabinet"/>
    <n v="1308.3800000000001"/>
    <n v="291.64"/>
  </r>
  <r>
    <s v="ORD-1001"/>
    <x v="22"/>
    <x v="2"/>
    <x v="2"/>
    <s v="Chairs"/>
    <s v="Executive Chair"/>
    <n v="364.34"/>
    <n v="55.02"/>
  </r>
  <r>
    <s v="ORD-1022"/>
    <x v="35"/>
    <x v="3"/>
    <x v="1"/>
    <s v="Accessories"/>
    <s v="USB Cable"/>
    <n v="352.55"/>
    <n v="6.71"/>
  </r>
  <r>
    <s v="ORD-1066"/>
    <x v="36"/>
    <x v="0"/>
    <x v="0"/>
    <s v="Paper"/>
    <s v="Copy Paper"/>
    <n v="243.23"/>
    <n v="10.1"/>
  </r>
  <r>
    <s v="ORD-1014"/>
    <x v="37"/>
    <x v="2"/>
    <x v="0"/>
    <s v="Storage"/>
    <s v="Storage Box"/>
    <n v="392.09"/>
    <n v="49.64"/>
  </r>
  <r>
    <s v="ORD-1049"/>
    <x v="38"/>
    <x v="0"/>
    <x v="0"/>
    <s v="Paper"/>
    <s v="Cardstock"/>
    <n v="349.93"/>
    <n v="62.99"/>
  </r>
  <r>
    <s v="ORD-1122"/>
    <x v="39"/>
    <x v="3"/>
    <x v="1"/>
    <s v="Phones"/>
    <s v="Office Phone"/>
    <n v="1145.3499999999999"/>
    <n v="231.3"/>
  </r>
  <r>
    <s v="ORD-1114"/>
    <x v="40"/>
    <x v="0"/>
    <x v="0"/>
    <s v="Paper"/>
    <s v="Cardstock"/>
    <n v="415.42"/>
    <n v="-61.78"/>
  </r>
  <r>
    <s v="ORD-1131"/>
    <x v="28"/>
    <x v="2"/>
    <x v="0"/>
    <s v="Binders"/>
    <s v="View Binder"/>
    <n v="962.19"/>
    <n v="154.38"/>
  </r>
  <r>
    <s v="ORD-1117"/>
    <x v="11"/>
    <x v="0"/>
    <x v="0"/>
    <s v="Binders"/>
    <s v="View Binder"/>
    <n v="490.9"/>
    <n v="42.46"/>
  </r>
  <r>
    <s v="ORD-1010"/>
    <x v="41"/>
    <x v="2"/>
    <x v="2"/>
    <s v="Tables"/>
    <s v="Round Table"/>
    <n v="117.96"/>
    <n v="36.159999999999997"/>
  </r>
  <r>
    <s v="ORD-1167"/>
    <x v="28"/>
    <x v="1"/>
    <x v="1"/>
    <s v="Accessories"/>
    <s v="USB Cable"/>
    <n v="604.99"/>
    <n v="90.54"/>
  </r>
  <r>
    <s v="ORD-1107"/>
    <x v="42"/>
    <x v="1"/>
    <x v="2"/>
    <s v="Tables"/>
    <s v="Conference Table"/>
    <n v="393.55"/>
    <n v="-36.22"/>
  </r>
  <r>
    <s v="ORD-1177"/>
    <x v="42"/>
    <x v="1"/>
    <x v="1"/>
    <s v="Accessories"/>
    <s v="Wireless Mouse"/>
    <n v="243.42"/>
    <n v="-28.2"/>
  </r>
  <r>
    <s v="ORD-1018"/>
    <x v="43"/>
    <x v="2"/>
    <x v="0"/>
    <s v="Binders"/>
    <s v="3-Ring Binder"/>
    <n v="1320.51"/>
    <n v="351.03"/>
  </r>
  <r>
    <s v="ORD-1007"/>
    <x v="44"/>
    <x v="2"/>
    <x v="2"/>
    <s v="Tables"/>
    <s v="Round Table"/>
    <n v="960.81"/>
    <n v="31.15"/>
  </r>
  <r>
    <s v="ORD-1136"/>
    <x v="45"/>
    <x v="0"/>
    <x v="1"/>
    <s v="Machines"/>
    <s v="Laptop Stand"/>
    <n v="561.35"/>
    <n v="137.72"/>
  </r>
  <r>
    <s v="ORD-1045"/>
    <x v="46"/>
    <x v="2"/>
    <x v="2"/>
    <s v="Bookcases"/>
    <s v="Metal Bookcase"/>
    <n v="543.44000000000005"/>
    <n v="70.62"/>
  </r>
  <r>
    <s v="ORD-1006"/>
    <x v="47"/>
    <x v="3"/>
    <x v="2"/>
    <s v="Bookcases"/>
    <s v="Metal Bookcase"/>
    <n v="998.67"/>
    <n v="236.22"/>
  </r>
  <r>
    <s v="ORD-1035"/>
    <x v="48"/>
    <x v="1"/>
    <x v="1"/>
    <s v="Machines"/>
    <s v="Laptop Stand"/>
    <n v="322.3"/>
    <n v="67.069999999999993"/>
  </r>
  <r>
    <s v="ORD-1159"/>
    <x v="49"/>
    <x v="1"/>
    <x v="2"/>
    <s v="Tables"/>
    <s v="Round Table"/>
    <n v="173.33"/>
    <n v="17.98"/>
  </r>
  <r>
    <s v="ORD-1119"/>
    <x v="50"/>
    <x v="3"/>
    <x v="0"/>
    <s v="Binders"/>
    <s v="View Binder"/>
    <n v="1089.22"/>
    <n v="59.9"/>
  </r>
  <r>
    <s v="ORD-1083"/>
    <x v="51"/>
    <x v="1"/>
    <x v="2"/>
    <s v="Tables"/>
    <s v="Round Table"/>
    <n v="741.57"/>
    <n v="20.329999999999998"/>
  </r>
  <r>
    <s v="ORD-1041"/>
    <x v="52"/>
    <x v="3"/>
    <x v="1"/>
    <s v="Machines"/>
    <s v="Laptop Stand"/>
    <n v="743.03"/>
    <n v="224.89"/>
  </r>
  <r>
    <s v="ORD-1003"/>
    <x v="53"/>
    <x v="2"/>
    <x v="1"/>
    <s v="Accessories"/>
    <s v="Wireless Mouse"/>
    <n v="250.11"/>
    <n v="82.19"/>
  </r>
  <r>
    <s v="ORD-1111"/>
    <x v="54"/>
    <x v="2"/>
    <x v="2"/>
    <s v="Chairs"/>
    <s v="Executive Chair"/>
    <n v="1421.65"/>
    <n v="247.16"/>
  </r>
  <r>
    <s v="ORD-1055"/>
    <x v="55"/>
    <x v="3"/>
    <x v="0"/>
    <s v="Storage"/>
    <s v="Storage Box"/>
    <n v="615.54999999999995"/>
    <n v="-1.34"/>
  </r>
  <r>
    <s v="ORD-1116"/>
    <x v="56"/>
    <x v="3"/>
    <x v="1"/>
    <s v="Accessories"/>
    <s v="Wireless Mouse"/>
    <n v="1307.01"/>
    <n v="444.89"/>
  </r>
  <r>
    <s v="ORD-1025"/>
    <x v="57"/>
    <x v="1"/>
    <x v="0"/>
    <s v="Paper"/>
    <s v="Copy Paper"/>
    <n v="163.46"/>
    <n v="10.71"/>
  </r>
  <r>
    <s v="ORD-1105"/>
    <x v="58"/>
    <x v="3"/>
    <x v="1"/>
    <s v="Accessories"/>
    <s v="Wireless Mouse"/>
    <n v="715.62"/>
    <n v="38.770000000000003"/>
  </r>
  <r>
    <s v="ORD-1053"/>
    <x v="23"/>
    <x v="1"/>
    <x v="2"/>
    <s v="Tables"/>
    <s v="Conference Table"/>
    <n v="22.5"/>
    <n v="7.04"/>
  </r>
  <r>
    <s v="ORD-1155"/>
    <x v="59"/>
    <x v="0"/>
    <x v="0"/>
    <s v="Binders"/>
    <s v="View Binder"/>
    <n v="1244.58"/>
    <n v="61.44"/>
  </r>
  <r>
    <s v="ORD-1109"/>
    <x v="60"/>
    <x v="1"/>
    <x v="0"/>
    <s v="Binders"/>
    <s v="3-Ring Binder"/>
    <n v="832.85"/>
    <n v="261.38"/>
  </r>
  <r>
    <s v="ORD-1162"/>
    <x v="61"/>
    <x v="3"/>
    <x v="0"/>
    <s v="Binders"/>
    <s v="3-Ring Binder"/>
    <n v="858.16"/>
    <n v="43.24"/>
  </r>
  <r>
    <s v="ORD-1148"/>
    <x v="50"/>
    <x v="0"/>
    <x v="1"/>
    <s v="Phones"/>
    <s v="Smartphone X"/>
    <n v="550.20000000000005"/>
    <n v="134.37"/>
  </r>
  <r>
    <s v="ORD-1059"/>
    <x v="62"/>
    <x v="3"/>
    <x v="2"/>
    <s v="Bookcases"/>
    <s v="Wood Bookcase"/>
    <n v="1213.71"/>
    <n v="-92.63"/>
  </r>
  <r>
    <s v="ORD-1102"/>
    <x v="16"/>
    <x v="1"/>
    <x v="1"/>
    <s v="Machines"/>
    <s v="Laptop Stand"/>
    <n v="139.05000000000001"/>
    <n v="-18.09"/>
  </r>
  <r>
    <s v="ORD-1073"/>
    <x v="63"/>
    <x v="1"/>
    <x v="0"/>
    <s v="Paper"/>
    <s v="Copy Paper"/>
    <n v="48.69"/>
    <n v="5.83"/>
  </r>
  <r>
    <s v="ORD-1047"/>
    <x v="64"/>
    <x v="1"/>
    <x v="2"/>
    <s v="Bookcases"/>
    <s v="Wood Bookcase"/>
    <n v="1207.31"/>
    <n v="340.5"/>
  </r>
  <r>
    <s v="ORD-1118"/>
    <x v="65"/>
    <x v="1"/>
    <x v="1"/>
    <s v="Machines"/>
    <s v="Label Printer"/>
    <n v="0"/>
    <n v="-125.79"/>
  </r>
  <r>
    <s v="ORD-1060"/>
    <x v="66"/>
    <x v="2"/>
    <x v="0"/>
    <s v="Storage"/>
    <s v="File Cabinet"/>
    <n v="633.37"/>
    <n v="104.43"/>
  </r>
  <r>
    <s v="ORD-1125"/>
    <x v="67"/>
    <x v="0"/>
    <x v="2"/>
    <s v="Chairs"/>
    <s v="Task Chair"/>
    <n v="756.55"/>
    <n v="107.11"/>
  </r>
  <r>
    <s v="ORD-1147"/>
    <x v="68"/>
    <x v="3"/>
    <x v="1"/>
    <s v="Phones"/>
    <s v="Office Phone"/>
    <n v="1481.54"/>
    <n v="177.94"/>
  </r>
  <r>
    <s v="ORD-1068"/>
    <x v="69"/>
    <x v="2"/>
    <x v="0"/>
    <s v="Paper"/>
    <s v="Copy Paper"/>
    <n v="582.96"/>
    <n v="-85.73"/>
  </r>
  <r>
    <s v="ORD-1029"/>
    <x v="70"/>
    <x v="2"/>
    <x v="2"/>
    <s v="Chairs"/>
    <s v="Task Chair"/>
    <n v="732.41"/>
    <n v="206.78"/>
  </r>
  <r>
    <s v="ORD-1057"/>
    <x v="20"/>
    <x v="2"/>
    <x v="0"/>
    <s v="Binders"/>
    <s v="View Binder"/>
    <n v="917.86"/>
    <n v="10.210000000000001"/>
  </r>
  <r>
    <s v="ORD-1140"/>
    <x v="71"/>
    <x v="1"/>
    <x v="2"/>
    <s v="Chairs"/>
    <s v="Executive Chair"/>
    <n v="1493.97"/>
    <n v="-137.36000000000001"/>
  </r>
  <r>
    <s v="ORD-1078"/>
    <x v="72"/>
    <x v="0"/>
    <x v="1"/>
    <s v="Accessories"/>
    <s v="USB Cable"/>
    <n v="1178.3"/>
    <n v="27.81"/>
  </r>
  <r>
    <s v="ORD-1139"/>
    <x v="73"/>
    <x v="3"/>
    <x v="2"/>
    <s v="Bookcases"/>
    <s v="Metal Bookcase"/>
    <n v="1365.89"/>
    <n v="1.5"/>
  </r>
  <r>
    <s v="ORD-1030"/>
    <x v="74"/>
    <x v="2"/>
    <x v="0"/>
    <s v="Binders"/>
    <s v="View Binder"/>
    <n v="1391.25"/>
    <n v="337.47"/>
  </r>
  <r>
    <s v="ORD-1126"/>
    <x v="32"/>
    <x v="0"/>
    <x v="1"/>
    <s v="Accessories"/>
    <s v="Wireless Mouse"/>
    <n v="1006.92"/>
    <n v="301.52999999999997"/>
  </r>
  <r>
    <s v="ORD-1052"/>
    <x v="23"/>
    <x v="2"/>
    <x v="0"/>
    <s v="Storage"/>
    <s v="Storage Box"/>
    <n v="917.19"/>
    <n v="96.96"/>
  </r>
  <r>
    <s v="ORD-1005"/>
    <x v="75"/>
    <x v="2"/>
    <x v="1"/>
    <s v="Phones"/>
    <s v="Office Phone"/>
    <n v="837.02"/>
    <n v="221.56"/>
  </r>
  <r>
    <s v="ORD-1056"/>
    <x v="76"/>
    <x v="0"/>
    <x v="0"/>
    <s v="Storage"/>
    <s v="Storage Box"/>
    <n v="930.96"/>
    <n v="0.44"/>
  </r>
  <r>
    <s v="ORD-1135"/>
    <x v="77"/>
    <x v="1"/>
    <x v="1"/>
    <s v="Accessories"/>
    <s v="USB Cable"/>
    <n v="1445.08"/>
    <n v="-115.06"/>
  </r>
  <r>
    <s v="ORD-1161"/>
    <x v="60"/>
    <x v="3"/>
    <x v="2"/>
    <s v="Tables"/>
    <s v="Conference Table"/>
    <n v="62.85"/>
    <n v="-0.84"/>
  </r>
  <r>
    <s v="ORD-1088"/>
    <x v="78"/>
    <x v="3"/>
    <x v="0"/>
    <s v="Paper"/>
    <s v="Cardstock"/>
    <n v="361.2"/>
    <n v="76.08"/>
  </r>
  <r>
    <s v="ORD-1124"/>
    <x v="79"/>
    <x v="3"/>
    <x v="0"/>
    <s v="Paper"/>
    <s v="Copy Paper"/>
    <n v="806.13"/>
    <n v="107.19"/>
  </r>
  <r>
    <s v="ORD-1141"/>
    <x v="80"/>
    <x v="0"/>
    <x v="2"/>
    <s v="Tables"/>
    <s v="Round Table"/>
    <n v="1012.32"/>
    <n v="224.3"/>
  </r>
  <r>
    <s v="ORD-1174"/>
    <x v="81"/>
    <x v="0"/>
    <x v="2"/>
    <s v="Chairs"/>
    <s v="Executive Chair"/>
    <n v="774.73"/>
    <n v="234.71"/>
  </r>
  <r>
    <s v="ORD-1076"/>
    <x v="82"/>
    <x v="3"/>
    <x v="2"/>
    <s v="Bookcases"/>
    <s v="Metal Bookcase"/>
    <n v="1447.79"/>
    <n v="-138.91999999999999"/>
  </r>
  <r>
    <s v="ORD-1150"/>
    <x v="83"/>
    <x v="2"/>
    <x v="0"/>
    <s v="Paper"/>
    <s v="Copy Paper"/>
    <n v="765.68"/>
    <n v="247.09"/>
  </r>
  <r>
    <s v="ORD-1163"/>
    <x v="81"/>
    <x v="0"/>
    <x v="1"/>
    <s v="Phones"/>
    <s v="Smartphone X"/>
    <n v="338.4"/>
    <n v="20.28"/>
  </r>
  <r>
    <s v="ORD-1164"/>
    <x v="84"/>
    <x v="3"/>
    <x v="0"/>
    <s v="Paper"/>
    <s v="Cardstock"/>
    <n v="902.41"/>
    <n v="263.20999999999998"/>
  </r>
  <r>
    <s v="ORD-1123"/>
    <x v="85"/>
    <x v="2"/>
    <x v="2"/>
    <s v="Bookcases"/>
    <s v="Wood Bookcase"/>
    <n v="88.07"/>
    <n v="21.85"/>
  </r>
  <r>
    <s v="ORD-1132"/>
    <x v="86"/>
    <x v="0"/>
    <x v="2"/>
    <s v="Bookcases"/>
    <s v="Metal Bookcase"/>
    <n v="1187.1400000000001"/>
    <n v="-158.27000000000001"/>
  </r>
  <r>
    <s v="ORD-1127"/>
    <x v="2"/>
    <x v="1"/>
    <x v="1"/>
    <s v="Machines"/>
    <s v="Label Printer"/>
    <n v="673.76"/>
    <n v="15.35"/>
  </r>
  <r>
    <s v="ORD-1067"/>
    <x v="87"/>
    <x v="0"/>
    <x v="2"/>
    <s v="Chairs"/>
    <s v="Task Chair"/>
    <n v="509.7"/>
    <n v="42.29"/>
  </r>
  <r>
    <s v="ORD-1094"/>
    <x v="88"/>
    <x v="2"/>
    <x v="2"/>
    <s v="Bookcases"/>
    <s v="Wood Bookcase"/>
    <n v="1491"/>
    <n v="-135.34"/>
  </r>
  <r>
    <s v="ORD-1106"/>
    <x v="64"/>
    <x v="3"/>
    <x v="2"/>
    <s v="Chairs"/>
    <s v="Task Chair"/>
    <n v="1046.6400000000001"/>
    <n v="-6.17"/>
  </r>
  <r>
    <s v="ORD-1069"/>
    <x v="89"/>
    <x v="3"/>
    <x v="0"/>
    <s v="Paper"/>
    <s v="Copy Paper"/>
    <n v="344.74"/>
    <n v="23.41"/>
  </r>
  <r>
    <s v="ORD-1120"/>
    <x v="12"/>
    <x v="0"/>
    <x v="0"/>
    <s v="Paper"/>
    <s v="Cardstock"/>
    <n v="981.76"/>
    <n v="270.85000000000002"/>
  </r>
  <r>
    <s v="ORD-1144"/>
    <x v="90"/>
    <x v="3"/>
    <x v="1"/>
    <s v="Accessories"/>
    <s v="Wireless Mouse"/>
    <n v="609.25"/>
    <n v="-33.57"/>
  </r>
  <r>
    <s v="ORD-1012"/>
    <x v="43"/>
    <x v="3"/>
    <x v="1"/>
    <s v="Accessories"/>
    <s v="Wireless Mouse"/>
    <n v="344.59"/>
    <n v="120.18"/>
  </r>
  <r>
    <s v="ORD-1137"/>
    <x v="91"/>
    <x v="2"/>
    <x v="1"/>
    <s v="Phones"/>
    <s v="Office Phone"/>
    <n v="1015.79"/>
    <n v="189.11"/>
  </r>
  <r>
    <s v="ORD-1170"/>
    <x v="23"/>
    <x v="3"/>
    <x v="0"/>
    <s v="Storage"/>
    <s v="File Cabinet"/>
    <n v="47.74"/>
    <n v="14.83"/>
  </r>
  <r>
    <s v="ORD-1037"/>
    <x v="2"/>
    <x v="2"/>
    <x v="0"/>
    <s v="Storage"/>
    <s v="File Cabinet"/>
    <n v="815.7"/>
    <n v="83.97"/>
  </r>
  <r>
    <s v="ORD-1009"/>
    <x v="45"/>
    <x v="0"/>
    <x v="0"/>
    <s v="Paper"/>
    <s v="Cardstock"/>
    <n v="345.03"/>
    <n v="4.1900000000000004"/>
  </r>
  <r>
    <s v="ORD-1019"/>
    <x v="88"/>
    <x v="3"/>
    <x v="2"/>
    <s v="Chairs"/>
    <s v="Executive Chair"/>
    <n v="1103.22"/>
    <n v="284.64"/>
  </r>
  <r>
    <s v="ORD-1017"/>
    <x v="6"/>
    <x v="2"/>
    <x v="1"/>
    <s v="Machines"/>
    <s v="Label Printer"/>
    <n v="573.39"/>
    <n v="-39.69"/>
  </r>
  <r>
    <s v="ORD-1028"/>
    <x v="92"/>
    <x v="0"/>
    <x v="0"/>
    <s v="Storage"/>
    <s v="File Cabinet"/>
    <n v="985.17"/>
    <n v="118.51"/>
  </r>
  <r>
    <s v="ORD-1062"/>
    <x v="93"/>
    <x v="2"/>
    <x v="0"/>
    <s v="Binders"/>
    <s v="3-Ring Binder"/>
    <n v="707.53"/>
    <n v="91.06"/>
  </r>
  <r>
    <s v="ORD-1115"/>
    <x v="94"/>
    <x v="3"/>
    <x v="1"/>
    <s v="Machines"/>
    <s v="Laptop Stand"/>
    <n v="680.89"/>
    <n v="62.76"/>
  </r>
  <r>
    <s v="ORD-1043"/>
    <x v="95"/>
    <x v="3"/>
    <x v="1"/>
    <s v="Accessories"/>
    <s v="Wireless Mouse"/>
    <n v="34.31"/>
    <n v="-3.86"/>
  </r>
  <r>
    <s v="ORD-1027"/>
    <x v="96"/>
    <x v="2"/>
    <x v="2"/>
    <s v="Chairs"/>
    <s v="Task Chair"/>
    <n v="644.38"/>
    <n v="-6.91"/>
  </r>
  <r>
    <s v="ORD-1178"/>
    <x v="49"/>
    <x v="1"/>
    <x v="0"/>
    <s v="Paper"/>
    <s v="Copy Paper"/>
    <n v="770.86"/>
    <n v="4.01"/>
  </r>
  <r>
    <s v="ORD-1130"/>
    <x v="97"/>
    <x v="3"/>
    <x v="1"/>
    <s v="Accessories"/>
    <s v="Wireless Mouse"/>
    <n v="857.57"/>
    <n v="165.43"/>
  </r>
  <r>
    <s v="ORD-1039"/>
    <x v="98"/>
    <x v="3"/>
    <x v="1"/>
    <s v="Machines"/>
    <s v="Label Printer"/>
    <n v="463.08"/>
    <n v="84.14"/>
  </r>
  <r>
    <s v="ORD-1046"/>
    <x v="82"/>
    <x v="1"/>
    <x v="1"/>
    <s v="Phones"/>
    <s v="Smartphone X"/>
    <n v="1464.78"/>
    <n v="374.08"/>
  </r>
  <r>
    <s v="ORD-1004"/>
    <x v="99"/>
    <x v="3"/>
    <x v="2"/>
    <s v="Tables"/>
    <s v="Conference Table"/>
    <n v="1274.29"/>
    <n v="193.52"/>
  </r>
  <r>
    <s v="ORD-1092"/>
    <x v="100"/>
    <x v="2"/>
    <x v="1"/>
    <s v="Accessories"/>
    <s v="Wireless Mouse"/>
    <n v="671.89"/>
    <n v="-38.85"/>
  </r>
  <r>
    <s v="ORD-1108"/>
    <x v="101"/>
    <x v="1"/>
    <x v="2"/>
    <s v="Bookcases"/>
    <s v="Wood Bookcase"/>
    <n v="100.22"/>
    <n v="10.95"/>
  </r>
  <r>
    <s v="ORD-1023"/>
    <x v="102"/>
    <x v="0"/>
    <x v="2"/>
    <s v="Chairs"/>
    <s v="Executive Chair"/>
    <n v="0"/>
    <n v="108.62"/>
  </r>
  <r>
    <s v="ORD-1032"/>
    <x v="92"/>
    <x v="2"/>
    <x v="1"/>
    <s v="Accessories"/>
    <s v="USB Cable"/>
    <n v="884.58"/>
    <n v="89.72"/>
  </r>
  <r>
    <s v="ORD-1149"/>
    <x v="33"/>
    <x v="3"/>
    <x v="2"/>
    <s v="Tables"/>
    <s v="Conference Table"/>
    <n v="1117.74"/>
    <n v="126.35"/>
  </r>
  <r>
    <s v="ORD-1096"/>
    <x v="39"/>
    <x v="3"/>
    <x v="0"/>
    <s v="Paper"/>
    <s v="Copy Paper"/>
    <n v="1422.43"/>
    <n v="-65.58"/>
  </r>
  <r>
    <s v="ORD-1138"/>
    <x v="103"/>
    <x v="1"/>
    <x v="0"/>
    <s v="Binders"/>
    <s v="3-Ring Binder"/>
    <n v="57.04"/>
    <n v="16.66"/>
  </r>
  <r>
    <s v="ORD-1171"/>
    <x v="104"/>
    <x v="3"/>
    <x v="0"/>
    <s v="Storage"/>
    <s v="Storage Box"/>
    <n v="448.48"/>
    <n v="23.55"/>
  </r>
  <r>
    <s v="ORD-1033"/>
    <x v="105"/>
    <x v="0"/>
    <x v="1"/>
    <s v="Phones"/>
    <s v="Smartphone X"/>
    <n v="900.65"/>
    <n v="168.97"/>
  </r>
  <r>
    <s v="ORD-1100"/>
    <x v="94"/>
    <x v="0"/>
    <x v="2"/>
    <s v="Bookcases"/>
    <s v="Metal Bookcase"/>
    <n v="1364.45"/>
    <n v="359.28"/>
  </r>
  <r>
    <s v="ORD-1079"/>
    <x v="106"/>
    <x v="1"/>
    <x v="0"/>
    <s v="Binders"/>
    <s v="View Binder"/>
    <n v="1277.3699999999999"/>
    <n v="333.6"/>
  </r>
  <r>
    <s v="ORD-1089"/>
    <x v="107"/>
    <x v="3"/>
    <x v="1"/>
    <s v="Machines"/>
    <s v="Label Printer"/>
    <n v="340.25"/>
    <n v="31.34"/>
  </r>
  <r>
    <s v="ORD-1036"/>
    <x v="27"/>
    <x v="0"/>
    <x v="0"/>
    <s v="Binders"/>
    <s v="View Binder"/>
    <n v="487.94"/>
    <n v="110.24"/>
  </r>
  <r>
    <s v="ORD-1020"/>
    <x v="74"/>
    <x v="0"/>
    <x v="1"/>
    <s v="Accessories"/>
    <s v="USB Cable"/>
    <n v="800.96"/>
    <n v="122.78"/>
  </r>
  <r>
    <s v="ORD-1151"/>
    <x v="90"/>
    <x v="2"/>
    <x v="0"/>
    <s v="Storage"/>
    <s v="File Cabinet"/>
    <n v="1497.91"/>
    <n v="409.9"/>
  </r>
  <r>
    <s v="ORD-1176"/>
    <x v="108"/>
    <x v="0"/>
    <x v="2"/>
    <s v="Bookcases"/>
    <s v="Metal Bookcase"/>
    <n v="1427.91"/>
    <n v="234.14"/>
  </r>
  <r>
    <s v="ORD-1064"/>
    <x v="109"/>
    <x v="1"/>
    <x v="0"/>
    <s v="Binders"/>
    <s v="View Binder"/>
    <n v="403.6"/>
    <n v="-10.65"/>
  </r>
  <r>
    <s v="ORD-1157"/>
    <x v="110"/>
    <x v="1"/>
    <x v="2"/>
    <s v="Chairs"/>
    <s v="Executive Chair"/>
    <n v="0"/>
    <n v="35.74"/>
  </r>
  <r>
    <s v="ORD-1098"/>
    <x v="111"/>
    <x v="2"/>
    <x v="0"/>
    <s v="Storage"/>
    <s v="Storage Box"/>
    <n v="0"/>
    <n v="-0.41"/>
  </r>
  <r>
    <s v="ORD-1142"/>
    <x v="112"/>
    <x v="1"/>
    <x v="1"/>
    <s v="Machines"/>
    <s v="Label Printer"/>
    <n v="989.28"/>
    <n v="263.99"/>
  </r>
  <r>
    <s v="ORD-1024"/>
    <x v="70"/>
    <x v="3"/>
    <x v="1"/>
    <s v="Phones"/>
    <s v="Office Phone"/>
    <n v="337.07"/>
    <n v="-28.26"/>
  </r>
  <r>
    <s v="ORD-1084"/>
    <x v="113"/>
    <x v="3"/>
    <x v="0"/>
    <s v="Storage"/>
    <s v="Storage Box"/>
    <n v="35.020000000000003"/>
    <n v="11.35"/>
  </r>
  <r>
    <s v="ORD-1016"/>
    <x v="114"/>
    <x v="1"/>
    <x v="1"/>
    <s v="Machines"/>
    <s v="Laptop Stand"/>
    <n v="1147.7"/>
    <n v="119.18"/>
  </r>
  <r>
    <s v="ORD-1085"/>
    <x v="113"/>
    <x v="2"/>
    <x v="1"/>
    <s v="Accessories"/>
    <s v="Wireless Mouse"/>
    <n v="1142.08"/>
    <n v="223.05"/>
  </r>
  <r>
    <s v="ORD-1013"/>
    <x v="115"/>
    <x v="1"/>
    <x v="2"/>
    <s v="Chairs"/>
    <s v="Executive Chair"/>
    <n v="1192.28"/>
    <n v="72.819999999999993"/>
  </r>
  <r>
    <s v="ORD-1153"/>
    <x v="116"/>
    <x v="0"/>
    <x v="2"/>
    <s v="Tables"/>
    <s v="Round Table"/>
    <n v="1492.05"/>
    <n v="172"/>
  </r>
  <r>
    <s v="ORD-1086"/>
    <x v="117"/>
    <x v="1"/>
    <x v="2"/>
    <s v="Chairs"/>
    <s v="Task Chair"/>
    <n v="618.51"/>
    <n v="-17.53"/>
  </r>
  <r>
    <s v="ORD-1104"/>
    <x v="63"/>
    <x v="2"/>
    <x v="1"/>
    <s v="Phones"/>
    <s v="Smartphone X"/>
    <n v="788.07"/>
    <n v="56.04"/>
  </r>
  <r>
    <s v="ORD-1099"/>
    <x v="74"/>
    <x v="3"/>
    <x v="0"/>
    <s v="Binders"/>
    <s v="3-Ring Binder"/>
    <n v="1185.99"/>
    <n v="192.76"/>
  </r>
  <r>
    <s v="ORD-1072"/>
    <x v="55"/>
    <x v="1"/>
    <x v="2"/>
    <s v="Tables"/>
    <s v="Round Table"/>
    <n v="333.26"/>
    <n v="4.47"/>
  </r>
  <r>
    <s v="ORD-1095"/>
    <x v="118"/>
    <x v="1"/>
    <x v="1"/>
    <s v="Machines"/>
    <s v="Label Printer"/>
    <n v="582.96"/>
    <n v="177.37"/>
  </r>
  <r>
    <s v="ORD-1093"/>
    <x v="119"/>
    <x v="2"/>
    <x v="0"/>
    <s v="Binders"/>
    <s v="3-Ring Binder"/>
    <n v="747.78"/>
    <n v="103.58"/>
  </r>
  <r>
    <s v="ORD-1040"/>
    <x v="120"/>
    <x v="0"/>
    <x v="2"/>
    <s v="Chairs"/>
    <s v="Executive Chair"/>
    <n v="437"/>
    <n v="-19.53"/>
  </r>
  <r>
    <s v="ORD-1156"/>
    <x v="121"/>
    <x v="2"/>
    <x v="0"/>
    <s v="Paper"/>
    <s v="Cardstock"/>
    <n v="1431.32"/>
    <n v="276.83"/>
  </r>
  <r>
    <s v="ORD-1133"/>
    <x v="55"/>
    <x v="3"/>
    <x v="2"/>
    <s v="Chairs"/>
    <s v="Task Chair"/>
    <n v="1126.27"/>
    <n v="-70.03"/>
  </r>
  <r>
    <s v="ORD-1134"/>
    <x v="9"/>
    <x v="0"/>
    <x v="0"/>
    <s v="Storage"/>
    <s v="Storage Box"/>
    <n v="400.32"/>
    <n v="105.02"/>
  </r>
  <r>
    <s v="ORD-1169"/>
    <x v="122"/>
    <x v="1"/>
    <x v="0"/>
    <s v="Binders"/>
    <s v="3-Ring Binder"/>
    <n v="808.22"/>
    <n v="-28.24"/>
  </r>
  <r>
    <s v="ORD-1112"/>
    <x v="112"/>
    <x v="0"/>
    <x v="1"/>
    <s v="Accessories"/>
    <s v="Wireless Mouse"/>
    <n v="1255.3900000000001"/>
    <n v="426.99"/>
  </r>
  <r>
    <s v="ORD-1063"/>
    <x v="123"/>
    <x v="2"/>
    <x v="2"/>
    <s v="Tables"/>
    <s v="Round Table"/>
    <n v="926.73"/>
    <n v="194.28"/>
  </r>
  <r>
    <s v="ORD-1044"/>
    <x v="124"/>
    <x v="0"/>
    <x v="2"/>
    <s v="Tables"/>
    <s v="Conference Table"/>
    <n v="208.62"/>
    <n v="0.86"/>
  </r>
  <r>
    <s v="ORD-1165"/>
    <x v="120"/>
    <x v="0"/>
    <x v="1"/>
    <s v="Phones"/>
    <s v="Smartphone X"/>
    <n v="675.81"/>
    <n v="41.91"/>
  </r>
  <r>
    <s v="ORD-1129"/>
    <x v="125"/>
    <x v="1"/>
    <x v="2"/>
    <s v="Chairs"/>
    <s v="Task Chair"/>
    <n v="0"/>
    <n v="-1.1399999999999999"/>
  </r>
  <r>
    <s v="ORD-1021"/>
    <x v="126"/>
    <x v="0"/>
    <x v="1"/>
    <s v="Machines"/>
    <s v="Label Printer"/>
    <n v="610.51"/>
    <n v="113.46"/>
  </r>
  <r>
    <s v="ORD-1087"/>
    <x v="127"/>
    <x v="3"/>
    <x v="1"/>
    <s v="Machines"/>
    <s v="Laptop Stand"/>
    <n v="1495.01"/>
    <n v="187.17"/>
  </r>
  <r>
    <s v="ORD-1026"/>
    <x v="39"/>
    <x v="1"/>
    <x v="0"/>
    <s v="Storage"/>
    <s v="File Cabinet"/>
    <n v="109.71"/>
    <n v="23.49"/>
  </r>
  <r>
    <s v="ORD-1015"/>
    <x v="128"/>
    <x v="2"/>
    <x v="1"/>
    <s v="Machines"/>
    <s v="Laptop Stand"/>
    <n v="185.1"/>
    <n v="12.47"/>
  </r>
  <r>
    <s v="ORD-1038"/>
    <x v="129"/>
    <x v="0"/>
    <x v="2"/>
    <s v="Chairs"/>
    <s v="Task Chair"/>
    <n v="253.47"/>
    <n v="67.64"/>
  </r>
  <r>
    <s v="ORD-1128"/>
    <x v="66"/>
    <x v="3"/>
    <x v="0"/>
    <s v="Storage"/>
    <s v="Storage Box"/>
    <n v="1271.05"/>
    <n v="-64.05"/>
  </r>
  <r>
    <s v="ORD-1121"/>
    <x v="130"/>
    <x v="1"/>
    <x v="1"/>
    <s v="Machines"/>
    <s v="Laptop Stand"/>
    <n v="73.13"/>
    <n v="-8.4700000000000006"/>
  </r>
  <r>
    <s v="ORD-1154"/>
    <x v="3"/>
    <x v="1"/>
    <x v="1"/>
    <s v="Accessories"/>
    <s v="USB Cable"/>
    <n v="1282.1300000000001"/>
    <n v="224.96"/>
  </r>
  <r>
    <s v="ORD-1082"/>
    <x v="131"/>
    <x v="3"/>
    <x v="2"/>
    <s v="Tables"/>
    <s v="Round Table"/>
    <n v="1130.7"/>
    <n v="152.56"/>
  </r>
  <r>
    <s v="ORD-1048"/>
    <x v="116"/>
    <x v="0"/>
    <x v="2"/>
    <s v="Bookcases"/>
    <s v="Metal Bookcase"/>
    <n v="1310.81"/>
    <n v="366.1"/>
  </r>
  <r>
    <s v="ORD-1166"/>
    <x v="132"/>
    <x v="1"/>
    <x v="0"/>
    <s v="Binders"/>
    <s v="3-Ring Binder"/>
    <n v="656.27"/>
    <n v="-5.5"/>
  </r>
  <r>
    <s v="ORD-1146"/>
    <x v="133"/>
    <x v="0"/>
    <x v="2"/>
    <s v="Chairs"/>
    <s v="Executive Chair"/>
    <n v="339.61"/>
    <n v="96.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1A8EB-F947-4B5D-A8E8-ED1B931DB794}" name="PivotTable4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0">
    <pivotField showAll="0"/>
    <pivotField numFmtId="165" showAll="0">
      <items count="135">
        <item x="97"/>
        <item x="106"/>
        <item x="50"/>
        <item x="31"/>
        <item x="19"/>
        <item x="85"/>
        <item x="24"/>
        <item x="11"/>
        <item x="47"/>
        <item x="92"/>
        <item x="102"/>
        <item x="90"/>
        <item x="105"/>
        <item x="5"/>
        <item x="2"/>
        <item x="10"/>
        <item x="75"/>
        <item x="4"/>
        <item x="88"/>
        <item x="18"/>
        <item x="58"/>
        <item x="57"/>
        <item x="39"/>
        <item x="46"/>
        <item x="3"/>
        <item x="14"/>
        <item x="33"/>
        <item x="36"/>
        <item x="96"/>
        <item x="61"/>
        <item x="68"/>
        <item x="94"/>
        <item x="6"/>
        <item x="15"/>
        <item x="115"/>
        <item x="82"/>
        <item x="9"/>
        <item x="13"/>
        <item x="76"/>
        <item x="108"/>
        <item x="51"/>
        <item x="17"/>
        <item x="107"/>
        <item x="22"/>
        <item x="28"/>
        <item x="117"/>
        <item x="25"/>
        <item x="62"/>
        <item x="38"/>
        <item x="30"/>
        <item x="29"/>
        <item x="67"/>
        <item x="131"/>
        <item x="79"/>
        <item x="35"/>
        <item x="78"/>
        <item x="32"/>
        <item x="48"/>
        <item x="74"/>
        <item x="60"/>
        <item x="41"/>
        <item x="120"/>
        <item x="21"/>
        <item x="53"/>
        <item x="129"/>
        <item x="111"/>
        <item x="71"/>
        <item x="86"/>
        <item x="126"/>
        <item x="0"/>
        <item x="42"/>
        <item x="56"/>
        <item x="55"/>
        <item x="59"/>
        <item x="128"/>
        <item x="132"/>
        <item x="8"/>
        <item x="49"/>
        <item x="99"/>
        <item x="7"/>
        <item x="43"/>
        <item x="91"/>
        <item x="80"/>
        <item x="121"/>
        <item x="122"/>
        <item x="116"/>
        <item x="34"/>
        <item x="12"/>
        <item x="1"/>
        <item x="119"/>
        <item x="87"/>
        <item x="64"/>
        <item x="101"/>
        <item x="112"/>
        <item x="104"/>
        <item x="127"/>
        <item x="124"/>
        <item x="110"/>
        <item x="23"/>
        <item x="16"/>
        <item x="123"/>
        <item x="109"/>
        <item x="83"/>
        <item x="44"/>
        <item x="66"/>
        <item x="27"/>
        <item x="54"/>
        <item x="73"/>
        <item x="77"/>
        <item x="63"/>
        <item x="103"/>
        <item x="100"/>
        <item x="70"/>
        <item x="89"/>
        <item x="65"/>
        <item x="114"/>
        <item x="52"/>
        <item x="40"/>
        <item x="93"/>
        <item x="118"/>
        <item x="37"/>
        <item x="81"/>
        <item x="130"/>
        <item x="98"/>
        <item x="113"/>
        <item x="45"/>
        <item x="95"/>
        <item x="72"/>
        <item x="84"/>
        <item x="125"/>
        <item x="69"/>
        <item x="20"/>
        <item x="26"/>
        <item x="133"/>
        <item t="default"/>
      </items>
    </pivotField>
    <pivotField axis="axisRow" showAll="0">
      <items count="7">
        <item x="2"/>
        <item m="1" x="4"/>
        <item x="1"/>
        <item x="3"/>
        <item m="1" x="5"/>
        <item x="0"/>
        <item t="default"/>
      </items>
    </pivotField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2"/>
  </rowFields>
  <rowItems count="5">
    <i>
      <x/>
    </i>
    <i>
      <x v="2"/>
    </i>
    <i>
      <x v="3"/>
    </i>
    <i>
      <x v="5"/>
    </i>
    <i t="grand">
      <x/>
    </i>
  </rowItems>
  <colItems count="1">
    <i/>
  </colItems>
  <dataFields count="1">
    <dataField name="Sum of Sales" fld="6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A5769-4B6F-4A09-8787-785B3BEA55D3}" name="PivotTable5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0">
    <pivotField showAll="0"/>
    <pivotField numFmtId="165" showAll="0">
      <items count="135">
        <item x="97"/>
        <item x="106"/>
        <item x="50"/>
        <item x="31"/>
        <item x="19"/>
        <item x="85"/>
        <item x="24"/>
        <item x="11"/>
        <item x="47"/>
        <item x="92"/>
        <item x="102"/>
        <item x="90"/>
        <item x="105"/>
        <item x="5"/>
        <item x="2"/>
        <item x="10"/>
        <item x="75"/>
        <item x="4"/>
        <item x="88"/>
        <item x="18"/>
        <item x="58"/>
        <item x="57"/>
        <item x="39"/>
        <item x="46"/>
        <item x="3"/>
        <item x="14"/>
        <item x="33"/>
        <item x="36"/>
        <item x="96"/>
        <item x="61"/>
        <item x="68"/>
        <item x="94"/>
        <item x="6"/>
        <item x="15"/>
        <item x="115"/>
        <item x="82"/>
        <item x="9"/>
        <item x="13"/>
        <item x="76"/>
        <item x="108"/>
        <item x="51"/>
        <item x="17"/>
        <item x="107"/>
        <item x="22"/>
        <item x="28"/>
        <item x="117"/>
        <item x="25"/>
        <item x="62"/>
        <item x="38"/>
        <item x="30"/>
        <item x="29"/>
        <item x="67"/>
        <item x="131"/>
        <item x="79"/>
        <item x="35"/>
        <item x="78"/>
        <item x="32"/>
        <item x="48"/>
        <item x="74"/>
        <item x="60"/>
        <item x="41"/>
        <item x="120"/>
        <item x="21"/>
        <item x="53"/>
        <item x="129"/>
        <item x="111"/>
        <item x="71"/>
        <item x="86"/>
        <item x="126"/>
        <item x="0"/>
        <item x="42"/>
        <item x="56"/>
        <item x="55"/>
        <item x="59"/>
        <item x="128"/>
        <item x="132"/>
        <item x="8"/>
        <item x="49"/>
        <item x="99"/>
        <item x="7"/>
        <item x="43"/>
        <item x="91"/>
        <item x="80"/>
        <item x="121"/>
        <item x="122"/>
        <item x="116"/>
        <item x="34"/>
        <item x="12"/>
        <item x="1"/>
        <item x="119"/>
        <item x="87"/>
        <item x="64"/>
        <item x="101"/>
        <item x="112"/>
        <item x="104"/>
        <item x="127"/>
        <item x="124"/>
        <item x="110"/>
        <item x="23"/>
        <item x="16"/>
        <item x="123"/>
        <item x="109"/>
        <item x="83"/>
        <item x="44"/>
        <item x="66"/>
        <item x="27"/>
        <item x="54"/>
        <item x="73"/>
        <item x="77"/>
        <item x="63"/>
        <item x="103"/>
        <item x="100"/>
        <item x="70"/>
        <item x="89"/>
        <item x="65"/>
        <item x="114"/>
        <item x="52"/>
        <item x="40"/>
        <item x="93"/>
        <item x="118"/>
        <item x="37"/>
        <item x="81"/>
        <item x="130"/>
        <item x="98"/>
        <item x="113"/>
        <item x="45"/>
        <item x="95"/>
        <item x="72"/>
        <item x="84"/>
        <item x="125"/>
        <item x="69"/>
        <item x="20"/>
        <item x="26"/>
        <item x="133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dragToRow="0" dragToCol="0" dragToPage="0" showAll="0" defaultSubtota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7" baseField="0" baseItem="0"/>
    <dataField name="Sum of Profit Margin" fld="9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9503BE-E995-41F5-AD4F-833D7EE0A3F4}" name="PivotTable6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4" firstHeaderRow="1" firstDataRow="1" firstDataCol="1"/>
  <pivotFields count="10">
    <pivotField showAll="0"/>
    <pivotField numFmtId="165" showAll="0">
      <items count="135">
        <item x="97"/>
        <item x="106"/>
        <item x="50"/>
        <item x="31"/>
        <item x="19"/>
        <item x="85"/>
        <item x="24"/>
        <item x="11"/>
        <item x="47"/>
        <item x="92"/>
        <item x="102"/>
        <item x="90"/>
        <item x="105"/>
        <item x="5"/>
        <item x="2"/>
        <item x="10"/>
        <item x="75"/>
        <item x="4"/>
        <item x="88"/>
        <item x="18"/>
        <item x="58"/>
        <item x="57"/>
        <item x="39"/>
        <item x="46"/>
        <item x="3"/>
        <item x="14"/>
        <item x="33"/>
        <item x="36"/>
        <item x="96"/>
        <item x="61"/>
        <item x="68"/>
        <item x="94"/>
        <item x="6"/>
        <item x="15"/>
        <item x="115"/>
        <item x="82"/>
        <item x="9"/>
        <item x="13"/>
        <item x="76"/>
        <item x="108"/>
        <item x="51"/>
        <item x="17"/>
        <item x="107"/>
        <item x="22"/>
        <item x="28"/>
        <item x="117"/>
        <item x="25"/>
        <item x="62"/>
        <item x="38"/>
        <item x="30"/>
        <item x="29"/>
        <item x="67"/>
        <item x="131"/>
        <item x="79"/>
        <item x="35"/>
        <item x="78"/>
        <item x="32"/>
        <item x="48"/>
        <item x="74"/>
        <item x="60"/>
        <item x="41"/>
        <item x="120"/>
        <item x="21"/>
        <item x="53"/>
        <item x="129"/>
        <item x="111"/>
        <item x="71"/>
        <item x="86"/>
        <item x="126"/>
        <item x="0"/>
        <item x="42"/>
        <item x="56"/>
        <item x="55"/>
        <item x="59"/>
        <item x="128"/>
        <item x="132"/>
        <item x="8"/>
        <item x="49"/>
        <item x="99"/>
        <item x="7"/>
        <item x="43"/>
        <item x="91"/>
        <item x="80"/>
        <item x="121"/>
        <item x="122"/>
        <item x="116"/>
        <item x="34"/>
        <item x="12"/>
        <item x="1"/>
        <item x="119"/>
        <item x="87"/>
        <item x="64"/>
        <item x="101"/>
        <item x="112"/>
        <item x="104"/>
        <item x="127"/>
        <item x="124"/>
        <item x="110"/>
        <item x="23"/>
        <item x="16"/>
        <item x="123"/>
        <item x="109"/>
        <item x="83"/>
        <item x="44"/>
        <item x="66"/>
        <item x="27"/>
        <item x="54"/>
        <item x="73"/>
        <item x="77"/>
        <item x="63"/>
        <item x="103"/>
        <item x="100"/>
        <item x="70"/>
        <item x="89"/>
        <item x="65"/>
        <item x="114"/>
        <item x="52"/>
        <item x="40"/>
        <item x="93"/>
        <item x="118"/>
        <item x="37"/>
        <item x="81"/>
        <item x="130"/>
        <item x="98"/>
        <item x="113"/>
        <item x="45"/>
        <item x="95"/>
        <item x="72"/>
        <item x="84"/>
        <item x="125"/>
        <item x="69"/>
        <item x="20"/>
        <item x="26"/>
        <item x="133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8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ales" fld="6" baseField="0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1"/>
  <sheetViews>
    <sheetView tabSelected="1" workbookViewId="0">
      <pane ySplit="1" topLeftCell="A5" activePane="bottomLeft" state="frozen"/>
      <selection pane="bottomLeft" activeCell="D2" sqref="D2"/>
    </sheetView>
  </sheetViews>
  <sheetFormatPr defaultRowHeight="14.5" x14ac:dyDescent="0.35"/>
  <cols>
    <col min="1" max="8" width="16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3">
        <v>45452</v>
      </c>
      <c r="C2" s="2" t="s">
        <v>82</v>
      </c>
      <c r="D2" s="2" t="s">
        <v>9</v>
      </c>
      <c r="E2" s="2" t="s">
        <v>10</v>
      </c>
      <c r="F2" s="2" t="s">
        <v>11</v>
      </c>
      <c r="G2" s="2">
        <v>1001.81</v>
      </c>
      <c r="H2" s="2">
        <v>-87.85</v>
      </c>
    </row>
    <row r="3" spans="1:8" x14ac:dyDescent="0.35">
      <c r="A3" s="2" t="s">
        <v>12</v>
      </c>
      <c r="B3" s="3">
        <v>45496</v>
      </c>
      <c r="C3" s="2" t="s">
        <v>82</v>
      </c>
      <c r="D3" s="2" t="s">
        <v>13</v>
      </c>
      <c r="E3" s="2" t="s">
        <v>14</v>
      </c>
      <c r="F3" s="2" t="s">
        <v>15</v>
      </c>
      <c r="G3" s="2">
        <v>381.1</v>
      </c>
      <c r="H3" s="2">
        <v>67.849999999999994</v>
      </c>
    </row>
    <row r="4" spans="1:8" x14ac:dyDescent="0.35">
      <c r="A4" s="2" t="s">
        <v>16</v>
      </c>
      <c r="B4" s="3">
        <v>45329</v>
      </c>
      <c r="C4" s="2" t="s">
        <v>38</v>
      </c>
      <c r="D4" s="2" t="s">
        <v>17</v>
      </c>
      <c r="E4" s="2" t="s">
        <v>18</v>
      </c>
      <c r="F4" s="2" t="s">
        <v>19</v>
      </c>
      <c r="G4" s="2">
        <v>0</v>
      </c>
      <c r="H4" s="2">
        <v>14.94</v>
      </c>
    </row>
    <row r="5" spans="1:8" x14ac:dyDescent="0.35">
      <c r="A5" s="2" t="s">
        <v>20</v>
      </c>
      <c r="B5" s="3">
        <v>45350</v>
      </c>
      <c r="C5" s="2" t="s">
        <v>42</v>
      </c>
      <c r="D5" s="2" t="s">
        <v>17</v>
      </c>
      <c r="E5" s="2" t="s">
        <v>21</v>
      </c>
      <c r="F5" s="2" t="s">
        <v>22</v>
      </c>
      <c r="G5" s="2">
        <v>854.67</v>
      </c>
      <c r="H5" s="2">
        <v>-35.06</v>
      </c>
    </row>
    <row r="6" spans="1:8" x14ac:dyDescent="0.35">
      <c r="A6" s="2" t="s">
        <v>23</v>
      </c>
      <c r="B6" s="3">
        <v>45334</v>
      </c>
      <c r="C6" s="2" t="s">
        <v>42</v>
      </c>
      <c r="D6" s="2" t="s">
        <v>13</v>
      </c>
      <c r="E6" s="2" t="s">
        <v>24</v>
      </c>
      <c r="F6" s="2" t="s">
        <v>25</v>
      </c>
      <c r="G6" s="2">
        <v>971.27</v>
      </c>
      <c r="H6" s="2">
        <v>-79.790000000000006</v>
      </c>
    </row>
    <row r="7" spans="1:8" x14ac:dyDescent="0.35">
      <c r="A7" s="2" t="s">
        <v>26</v>
      </c>
      <c r="B7" s="3">
        <v>45328</v>
      </c>
      <c r="C7" s="2" t="s">
        <v>33</v>
      </c>
      <c r="D7" s="2" t="s">
        <v>17</v>
      </c>
      <c r="E7" s="2" t="s">
        <v>27</v>
      </c>
      <c r="F7" s="2" t="s">
        <v>28</v>
      </c>
      <c r="G7" s="2">
        <v>921.51</v>
      </c>
      <c r="H7" s="2">
        <v>-59.37</v>
      </c>
    </row>
    <row r="8" spans="1:8" x14ac:dyDescent="0.35">
      <c r="A8" s="2" t="s">
        <v>29</v>
      </c>
      <c r="B8" s="3">
        <v>45370</v>
      </c>
      <c r="C8" s="2" t="s">
        <v>42</v>
      </c>
      <c r="D8" s="2" t="s">
        <v>9</v>
      </c>
      <c r="E8" s="2" t="s">
        <v>30</v>
      </c>
      <c r="F8" s="2" t="s">
        <v>31</v>
      </c>
      <c r="G8" s="2">
        <v>664.52</v>
      </c>
      <c r="H8" s="2">
        <v>144.13</v>
      </c>
    </row>
    <row r="9" spans="1:8" x14ac:dyDescent="0.35">
      <c r="A9" s="2" t="s">
        <v>32</v>
      </c>
      <c r="B9" s="3">
        <v>45476</v>
      </c>
      <c r="C9" s="2" t="s">
        <v>33</v>
      </c>
      <c r="D9" s="2" t="s">
        <v>17</v>
      </c>
      <c r="E9" s="2" t="s">
        <v>18</v>
      </c>
      <c r="F9" s="2" t="s">
        <v>34</v>
      </c>
      <c r="G9" s="2">
        <v>285.57</v>
      </c>
      <c r="H9" s="2">
        <v>-40.82</v>
      </c>
    </row>
    <row r="10" spans="1:8" x14ac:dyDescent="0.35">
      <c r="A10" s="2" t="s">
        <v>35</v>
      </c>
      <c r="B10" s="3">
        <v>45471</v>
      </c>
      <c r="C10" s="2" t="s">
        <v>38</v>
      </c>
      <c r="D10" s="2" t="s">
        <v>9</v>
      </c>
      <c r="E10" s="2" t="s">
        <v>10</v>
      </c>
      <c r="F10" s="2" t="s">
        <v>11</v>
      </c>
      <c r="G10" s="2">
        <v>969.39</v>
      </c>
      <c r="H10" s="2">
        <v>48.31</v>
      </c>
    </row>
    <row r="11" spans="1:8" x14ac:dyDescent="0.35">
      <c r="A11" s="2" t="s">
        <v>36</v>
      </c>
      <c r="B11" s="3">
        <v>45376</v>
      </c>
      <c r="C11" s="2" t="s">
        <v>42</v>
      </c>
      <c r="D11" s="2" t="s">
        <v>9</v>
      </c>
      <c r="E11" s="2" t="s">
        <v>30</v>
      </c>
      <c r="F11" s="2" t="s">
        <v>31</v>
      </c>
      <c r="G11" s="2">
        <v>1263.95</v>
      </c>
      <c r="H11" s="2">
        <v>391.53</v>
      </c>
    </row>
    <row r="12" spans="1:8" x14ac:dyDescent="0.35">
      <c r="A12" s="2" t="s">
        <v>37</v>
      </c>
      <c r="B12" s="3">
        <v>45331</v>
      </c>
      <c r="C12" s="2" t="s">
        <v>38</v>
      </c>
      <c r="D12" s="2" t="s">
        <v>17</v>
      </c>
      <c r="E12" s="2" t="s">
        <v>18</v>
      </c>
      <c r="F12" s="2" t="s">
        <v>19</v>
      </c>
      <c r="G12" s="2">
        <v>974.11</v>
      </c>
      <c r="H12" s="2">
        <v>329.92</v>
      </c>
    </row>
    <row r="13" spans="1:8" x14ac:dyDescent="0.35">
      <c r="A13" s="2" t="s">
        <v>39</v>
      </c>
      <c r="B13" s="3">
        <v>45471</v>
      </c>
      <c r="C13" s="2" t="s">
        <v>82</v>
      </c>
      <c r="D13" s="2" t="s">
        <v>9</v>
      </c>
      <c r="E13" s="2" t="s">
        <v>10</v>
      </c>
      <c r="F13" s="2" t="s">
        <v>40</v>
      </c>
      <c r="G13" s="2">
        <v>1271.1500000000001</v>
      </c>
      <c r="H13" s="2">
        <v>42.94</v>
      </c>
    </row>
    <row r="14" spans="1:8" x14ac:dyDescent="0.35">
      <c r="A14" s="2" t="s">
        <v>41</v>
      </c>
      <c r="B14" s="3">
        <v>45314</v>
      </c>
      <c r="C14" s="2" t="s">
        <v>42</v>
      </c>
      <c r="D14" s="2" t="s">
        <v>13</v>
      </c>
      <c r="E14" s="2" t="s">
        <v>14</v>
      </c>
      <c r="F14" s="2" t="s">
        <v>15</v>
      </c>
      <c r="G14" s="2">
        <v>25.25</v>
      </c>
      <c r="H14" s="2">
        <v>5.95</v>
      </c>
    </row>
    <row r="15" spans="1:8" x14ac:dyDescent="0.35">
      <c r="A15" s="2" t="s">
        <v>43</v>
      </c>
      <c r="B15" s="3">
        <v>45495</v>
      </c>
      <c r="C15" s="2" t="s">
        <v>42</v>
      </c>
      <c r="D15" s="2" t="s">
        <v>13</v>
      </c>
      <c r="E15" s="2" t="s">
        <v>24</v>
      </c>
      <c r="F15" s="2" t="s">
        <v>44</v>
      </c>
      <c r="G15" s="2">
        <v>1413.38</v>
      </c>
      <c r="H15" s="2">
        <v>-71.849999999999994</v>
      </c>
    </row>
    <row r="16" spans="1:8" x14ac:dyDescent="0.35">
      <c r="A16" s="2" t="s">
        <v>45</v>
      </c>
      <c r="B16" s="3">
        <v>45378</v>
      </c>
      <c r="C16" s="2" t="s">
        <v>38</v>
      </c>
      <c r="D16" s="2" t="s">
        <v>13</v>
      </c>
      <c r="E16" s="2" t="s">
        <v>46</v>
      </c>
      <c r="F16" s="2" t="s">
        <v>47</v>
      </c>
      <c r="G16" s="2">
        <v>995.1</v>
      </c>
      <c r="H16" s="2">
        <v>-8.07</v>
      </c>
    </row>
    <row r="17" spans="1:8" x14ac:dyDescent="0.35">
      <c r="A17" s="2" t="s">
        <v>48</v>
      </c>
      <c r="B17" s="3">
        <v>45354</v>
      </c>
      <c r="C17" s="2" t="s">
        <v>82</v>
      </c>
      <c r="D17" s="2" t="s">
        <v>17</v>
      </c>
      <c r="E17" s="2" t="s">
        <v>27</v>
      </c>
      <c r="F17" s="2" t="s">
        <v>28</v>
      </c>
      <c r="G17" s="2">
        <v>628</v>
      </c>
      <c r="H17" s="2">
        <v>180.11</v>
      </c>
    </row>
    <row r="18" spans="1:8" x14ac:dyDescent="0.35">
      <c r="A18" s="2" t="s">
        <v>49</v>
      </c>
      <c r="B18" s="3">
        <v>45371</v>
      </c>
      <c r="C18" s="2" t="s">
        <v>33</v>
      </c>
      <c r="D18" s="2" t="s">
        <v>13</v>
      </c>
      <c r="E18" s="2" t="s">
        <v>24</v>
      </c>
      <c r="F18" s="2" t="s">
        <v>44</v>
      </c>
      <c r="G18" s="2">
        <v>301.05</v>
      </c>
      <c r="H18" s="2">
        <v>-12.39</v>
      </c>
    </row>
    <row r="19" spans="1:8" x14ac:dyDescent="0.35">
      <c r="A19" s="2" t="s">
        <v>50</v>
      </c>
      <c r="B19" s="3">
        <v>45516</v>
      </c>
      <c r="C19" s="2" t="s">
        <v>42</v>
      </c>
      <c r="D19" s="2" t="s">
        <v>17</v>
      </c>
      <c r="E19" s="2" t="s">
        <v>18</v>
      </c>
      <c r="F19" s="2" t="s">
        <v>19</v>
      </c>
      <c r="G19" s="2">
        <v>204.04</v>
      </c>
      <c r="H19" s="2">
        <v>39.65</v>
      </c>
    </row>
    <row r="20" spans="1:8" x14ac:dyDescent="0.35">
      <c r="A20" s="2" t="s">
        <v>51</v>
      </c>
      <c r="B20" s="3">
        <v>45389</v>
      </c>
      <c r="C20" s="2" t="s">
        <v>82</v>
      </c>
      <c r="D20" s="2" t="s">
        <v>13</v>
      </c>
      <c r="E20" s="2" t="s">
        <v>46</v>
      </c>
      <c r="F20" s="2" t="s">
        <v>47</v>
      </c>
      <c r="G20" s="2">
        <v>1384.36</v>
      </c>
      <c r="H20" s="2">
        <v>144.13999999999999</v>
      </c>
    </row>
    <row r="21" spans="1:8" x14ac:dyDescent="0.35">
      <c r="A21" s="2" t="s">
        <v>52</v>
      </c>
      <c r="B21" s="3">
        <v>45337</v>
      </c>
      <c r="C21" s="2" t="s">
        <v>33</v>
      </c>
      <c r="D21" s="2" t="s">
        <v>13</v>
      </c>
      <c r="E21" s="2" t="s">
        <v>14</v>
      </c>
      <c r="F21" s="2" t="s">
        <v>15</v>
      </c>
      <c r="G21" s="2">
        <v>666.33</v>
      </c>
      <c r="H21" s="2">
        <v>-64.680000000000007</v>
      </c>
    </row>
    <row r="22" spans="1:8" x14ac:dyDescent="0.35">
      <c r="A22" s="2" t="s">
        <v>53</v>
      </c>
      <c r="B22" s="3">
        <v>45305</v>
      </c>
      <c r="C22" s="2" t="s">
        <v>38</v>
      </c>
      <c r="D22" s="2" t="s">
        <v>9</v>
      </c>
      <c r="E22" s="2" t="s">
        <v>30</v>
      </c>
      <c r="F22" s="2" t="s">
        <v>31</v>
      </c>
      <c r="G22" s="2">
        <v>155.16</v>
      </c>
      <c r="H22" s="2">
        <v>51.35</v>
      </c>
    </row>
    <row r="23" spans="1:8" x14ac:dyDescent="0.35">
      <c r="A23" s="2" t="s">
        <v>54</v>
      </c>
      <c r="B23" s="3">
        <v>45588</v>
      </c>
      <c r="C23" s="2" t="s">
        <v>82</v>
      </c>
      <c r="D23" s="2" t="s">
        <v>17</v>
      </c>
      <c r="E23" s="2" t="s">
        <v>27</v>
      </c>
      <c r="F23" s="2" t="s">
        <v>55</v>
      </c>
      <c r="G23" s="2">
        <v>899.89</v>
      </c>
      <c r="H23" s="2">
        <v>143.69999999999999</v>
      </c>
    </row>
    <row r="24" spans="1:8" x14ac:dyDescent="0.35">
      <c r="A24" s="2" t="s">
        <v>56</v>
      </c>
      <c r="B24" s="3">
        <v>45432</v>
      </c>
      <c r="C24" s="2" t="s">
        <v>33</v>
      </c>
      <c r="D24" s="2" t="s">
        <v>9</v>
      </c>
      <c r="E24" s="2" t="s">
        <v>30</v>
      </c>
      <c r="F24" s="2" t="s">
        <v>57</v>
      </c>
      <c r="G24" s="2">
        <v>671.01</v>
      </c>
      <c r="H24" s="2">
        <v>138.75</v>
      </c>
    </row>
    <row r="25" spans="1:8" x14ac:dyDescent="0.35">
      <c r="A25" s="2" t="s">
        <v>58</v>
      </c>
      <c r="B25" s="3">
        <v>45403</v>
      </c>
      <c r="C25" s="2" t="s">
        <v>38</v>
      </c>
      <c r="D25" s="2" t="s">
        <v>17</v>
      </c>
      <c r="E25" s="2" t="s">
        <v>27</v>
      </c>
      <c r="F25" s="2" t="s">
        <v>28</v>
      </c>
      <c r="G25" s="2">
        <v>676.21</v>
      </c>
      <c r="H25" s="2">
        <v>219.96</v>
      </c>
    </row>
    <row r="26" spans="1:8" x14ac:dyDescent="0.35">
      <c r="A26" s="2" t="s">
        <v>59</v>
      </c>
      <c r="B26" s="3">
        <v>45515</v>
      </c>
      <c r="C26" s="2" t="s">
        <v>33</v>
      </c>
      <c r="D26" s="2" t="s">
        <v>13</v>
      </c>
      <c r="E26" s="2" t="s">
        <v>14</v>
      </c>
      <c r="F26" s="2" t="s">
        <v>15</v>
      </c>
      <c r="G26" s="2">
        <v>1242.0899999999999</v>
      </c>
      <c r="H26" s="2">
        <v>181.64</v>
      </c>
    </row>
    <row r="27" spans="1:8" x14ac:dyDescent="0.35">
      <c r="A27" s="2" t="s">
        <v>60</v>
      </c>
      <c r="B27" s="3">
        <v>45307</v>
      </c>
      <c r="C27" s="2" t="s">
        <v>33</v>
      </c>
      <c r="D27" s="2" t="s">
        <v>13</v>
      </c>
      <c r="E27" s="2" t="s">
        <v>46</v>
      </c>
      <c r="F27" s="2" t="s">
        <v>61</v>
      </c>
      <c r="G27" s="2">
        <v>1425.43</v>
      </c>
      <c r="H27" s="2">
        <v>-71.73</v>
      </c>
    </row>
    <row r="28" spans="1:8" x14ac:dyDescent="0.35">
      <c r="A28" s="2" t="s">
        <v>62</v>
      </c>
      <c r="B28" s="3">
        <v>45406</v>
      </c>
      <c r="C28" s="2" t="s">
        <v>42</v>
      </c>
      <c r="D28" s="2" t="s">
        <v>13</v>
      </c>
      <c r="E28" s="2" t="s">
        <v>14</v>
      </c>
      <c r="F28" s="2" t="s">
        <v>63</v>
      </c>
      <c r="G28" s="2">
        <v>226.52</v>
      </c>
      <c r="H28" s="2">
        <v>-22.37</v>
      </c>
    </row>
    <row r="29" spans="1:8" x14ac:dyDescent="0.35">
      <c r="A29" s="2" t="s">
        <v>64</v>
      </c>
      <c r="B29" s="3">
        <v>45589</v>
      </c>
      <c r="C29" s="2" t="s">
        <v>33</v>
      </c>
      <c r="D29" s="2" t="s">
        <v>17</v>
      </c>
      <c r="E29" s="2" t="s">
        <v>18</v>
      </c>
      <c r="F29" s="2" t="s">
        <v>34</v>
      </c>
      <c r="G29" s="2">
        <v>1444.55</v>
      </c>
      <c r="H29" s="2">
        <v>-24.94</v>
      </c>
    </row>
    <row r="30" spans="1:8" x14ac:dyDescent="0.35">
      <c r="A30" s="2" t="s">
        <v>65</v>
      </c>
      <c r="B30" s="3">
        <v>45526</v>
      </c>
      <c r="C30" s="2" t="s">
        <v>33</v>
      </c>
      <c r="D30" s="2" t="s">
        <v>13</v>
      </c>
      <c r="E30" s="2" t="s">
        <v>14</v>
      </c>
      <c r="F30" s="2" t="s">
        <v>15</v>
      </c>
      <c r="G30" s="2">
        <v>231.45</v>
      </c>
      <c r="H30" s="2">
        <v>-18.559999999999999</v>
      </c>
    </row>
    <row r="31" spans="1:8" x14ac:dyDescent="0.35">
      <c r="A31" s="2" t="s">
        <v>66</v>
      </c>
      <c r="B31" s="3">
        <v>45404</v>
      </c>
      <c r="C31" s="2" t="s">
        <v>82</v>
      </c>
      <c r="D31" s="2" t="s">
        <v>13</v>
      </c>
      <c r="E31" s="2" t="s">
        <v>24</v>
      </c>
      <c r="F31" s="2" t="s">
        <v>44</v>
      </c>
      <c r="G31" s="2">
        <v>684.83</v>
      </c>
      <c r="H31" s="2">
        <v>-7.47</v>
      </c>
    </row>
    <row r="32" spans="1:8" x14ac:dyDescent="0.35">
      <c r="A32" s="2" t="s">
        <v>67</v>
      </c>
      <c r="B32" s="3">
        <v>45414</v>
      </c>
      <c r="C32" s="2" t="s">
        <v>38</v>
      </c>
      <c r="D32" s="2" t="s">
        <v>9</v>
      </c>
      <c r="E32" s="2" t="s">
        <v>10</v>
      </c>
      <c r="F32" s="2" t="s">
        <v>40</v>
      </c>
      <c r="G32" s="2">
        <v>1070.48</v>
      </c>
      <c r="H32" s="2">
        <v>5.75</v>
      </c>
    </row>
    <row r="33" spans="1:8" x14ac:dyDescent="0.35">
      <c r="A33" s="2" t="s">
        <v>68</v>
      </c>
      <c r="B33" s="3">
        <v>45412</v>
      </c>
      <c r="C33" s="2" t="s">
        <v>33</v>
      </c>
      <c r="D33" s="2" t="s">
        <v>13</v>
      </c>
      <c r="E33" s="2" t="s">
        <v>24</v>
      </c>
      <c r="F33" s="2" t="s">
        <v>25</v>
      </c>
      <c r="G33" s="2">
        <v>172.15</v>
      </c>
      <c r="H33" s="2">
        <v>-3.79</v>
      </c>
    </row>
    <row r="34" spans="1:8" x14ac:dyDescent="0.35">
      <c r="A34" s="2" t="s">
        <v>69</v>
      </c>
      <c r="B34" s="3">
        <v>45302</v>
      </c>
      <c r="C34" s="2" t="s">
        <v>42</v>
      </c>
      <c r="D34" s="2" t="s">
        <v>17</v>
      </c>
      <c r="E34" s="2" t="s">
        <v>27</v>
      </c>
      <c r="F34" s="2" t="s">
        <v>55</v>
      </c>
      <c r="G34" s="2">
        <v>94.86</v>
      </c>
      <c r="H34" s="2">
        <v>1.59</v>
      </c>
    </row>
    <row r="35" spans="1:8" x14ac:dyDescent="0.35">
      <c r="A35" s="2" t="s">
        <v>70</v>
      </c>
      <c r="B35" s="3">
        <v>45422</v>
      </c>
      <c r="C35" s="2" t="s">
        <v>42</v>
      </c>
      <c r="D35" s="2" t="s">
        <v>9</v>
      </c>
      <c r="E35" s="2" t="s">
        <v>10</v>
      </c>
      <c r="F35" s="2" t="s">
        <v>40</v>
      </c>
      <c r="G35" s="2">
        <v>448.38</v>
      </c>
      <c r="H35" s="2">
        <v>-40.36</v>
      </c>
    </row>
    <row r="36" spans="1:8" x14ac:dyDescent="0.35">
      <c r="A36" s="2" t="s">
        <v>71</v>
      </c>
      <c r="B36" s="3">
        <v>45356</v>
      </c>
      <c r="C36" s="2" t="s">
        <v>82</v>
      </c>
      <c r="D36" s="2" t="s">
        <v>17</v>
      </c>
      <c r="E36" s="2" t="s">
        <v>21</v>
      </c>
      <c r="F36" s="2" t="s">
        <v>22</v>
      </c>
      <c r="G36" s="2">
        <v>964.05</v>
      </c>
      <c r="H36" s="2">
        <v>218.26</v>
      </c>
    </row>
    <row r="37" spans="1:8" x14ac:dyDescent="0.35">
      <c r="A37" s="2" t="s">
        <v>72</v>
      </c>
      <c r="B37" s="3">
        <v>45414</v>
      </c>
      <c r="C37" s="2" t="s">
        <v>82</v>
      </c>
      <c r="D37" s="2" t="s">
        <v>13</v>
      </c>
      <c r="E37" s="2" t="s">
        <v>46</v>
      </c>
      <c r="F37" s="2" t="s">
        <v>61</v>
      </c>
      <c r="G37" s="2">
        <v>277.24</v>
      </c>
      <c r="H37" s="2">
        <v>-31.18</v>
      </c>
    </row>
    <row r="38" spans="1:8" x14ac:dyDescent="0.35">
      <c r="A38" s="2" t="s">
        <v>73</v>
      </c>
      <c r="B38" s="3">
        <v>45494</v>
      </c>
      <c r="C38" s="2" t="s">
        <v>38</v>
      </c>
      <c r="D38" s="2" t="s">
        <v>9</v>
      </c>
      <c r="E38" s="2" t="s">
        <v>30</v>
      </c>
      <c r="F38" s="2" t="s">
        <v>57</v>
      </c>
      <c r="G38" s="2">
        <v>1308.3800000000001</v>
      </c>
      <c r="H38" s="2">
        <v>291.64</v>
      </c>
    </row>
    <row r="39" spans="1:8" x14ac:dyDescent="0.35">
      <c r="A39" s="2" t="s">
        <v>74</v>
      </c>
      <c r="B39" s="3">
        <v>45403</v>
      </c>
      <c r="C39" s="2" t="s">
        <v>42</v>
      </c>
      <c r="D39" s="2" t="s">
        <v>17</v>
      </c>
      <c r="E39" s="2" t="s">
        <v>21</v>
      </c>
      <c r="F39" s="2" t="s">
        <v>75</v>
      </c>
      <c r="G39" s="2">
        <v>364.34</v>
      </c>
      <c r="H39" s="2">
        <v>55.02</v>
      </c>
    </row>
    <row r="40" spans="1:8" x14ac:dyDescent="0.35">
      <c r="A40" s="2" t="s">
        <v>76</v>
      </c>
      <c r="B40" s="3">
        <v>45418</v>
      </c>
      <c r="C40" s="2" t="s">
        <v>33</v>
      </c>
      <c r="D40" s="2" t="s">
        <v>13</v>
      </c>
      <c r="E40" s="2" t="s">
        <v>14</v>
      </c>
      <c r="F40" s="2" t="s">
        <v>63</v>
      </c>
      <c r="G40" s="2">
        <v>352.55</v>
      </c>
      <c r="H40" s="2">
        <v>6.71</v>
      </c>
    </row>
    <row r="41" spans="1:8" x14ac:dyDescent="0.35">
      <c r="A41" s="2" t="s">
        <v>77</v>
      </c>
      <c r="B41" s="3">
        <v>45362</v>
      </c>
      <c r="C41" s="2" t="s">
        <v>82</v>
      </c>
      <c r="D41" s="2" t="s">
        <v>9</v>
      </c>
      <c r="E41" s="2" t="s">
        <v>78</v>
      </c>
      <c r="F41" s="2" t="s">
        <v>79</v>
      </c>
      <c r="G41" s="2">
        <v>243.23</v>
      </c>
      <c r="H41" s="2">
        <v>10.1</v>
      </c>
    </row>
    <row r="42" spans="1:8" x14ac:dyDescent="0.35">
      <c r="A42" s="2" t="s">
        <v>80</v>
      </c>
      <c r="B42" s="3">
        <v>45562</v>
      </c>
      <c r="C42" s="2" t="s">
        <v>42</v>
      </c>
      <c r="D42" s="2" t="s">
        <v>9</v>
      </c>
      <c r="E42" s="2" t="s">
        <v>30</v>
      </c>
      <c r="F42" s="2" t="s">
        <v>31</v>
      </c>
      <c r="G42" s="2">
        <v>392.09</v>
      </c>
      <c r="H42" s="2">
        <v>49.64</v>
      </c>
    </row>
    <row r="43" spans="1:8" x14ac:dyDescent="0.35">
      <c r="A43" s="2" t="s">
        <v>81</v>
      </c>
      <c r="B43" s="3">
        <v>45408</v>
      </c>
      <c r="C43" s="2" t="s">
        <v>82</v>
      </c>
      <c r="D43" s="2" t="s">
        <v>9</v>
      </c>
      <c r="E43" s="2" t="s">
        <v>78</v>
      </c>
      <c r="F43" s="2" t="s">
        <v>83</v>
      </c>
      <c r="G43" s="2">
        <v>349.93</v>
      </c>
      <c r="H43" s="2">
        <v>62.99</v>
      </c>
    </row>
    <row r="44" spans="1:8" x14ac:dyDescent="0.35">
      <c r="A44" s="2" t="s">
        <v>84</v>
      </c>
      <c r="B44" s="3">
        <v>45342</v>
      </c>
      <c r="C44" s="2" t="s">
        <v>33</v>
      </c>
      <c r="D44" s="2" t="s">
        <v>13</v>
      </c>
      <c r="E44" s="2" t="s">
        <v>46</v>
      </c>
      <c r="F44" s="2" t="s">
        <v>47</v>
      </c>
      <c r="G44" s="2">
        <v>1145.3499999999999</v>
      </c>
      <c r="H44" s="2">
        <v>231.3</v>
      </c>
    </row>
    <row r="45" spans="1:8" x14ac:dyDescent="0.35">
      <c r="A45" s="2" t="s">
        <v>85</v>
      </c>
      <c r="B45" s="3">
        <v>45551</v>
      </c>
      <c r="C45" s="2" t="s">
        <v>82</v>
      </c>
      <c r="D45" s="2" t="s">
        <v>9</v>
      </c>
      <c r="E45" s="2" t="s">
        <v>78</v>
      </c>
      <c r="F45" s="2" t="s">
        <v>83</v>
      </c>
      <c r="G45" s="2">
        <v>415.42</v>
      </c>
      <c r="H45" s="2">
        <v>-61.78</v>
      </c>
    </row>
    <row r="46" spans="1:8" x14ac:dyDescent="0.35">
      <c r="A46" s="2" t="s">
        <v>86</v>
      </c>
      <c r="B46" s="3">
        <v>45404</v>
      </c>
      <c r="C46" s="2" t="s">
        <v>42</v>
      </c>
      <c r="D46" s="2" t="s">
        <v>9</v>
      </c>
      <c r="E46" s="2" t="s">
        <v>10</v>
      </c>
      <c r="F46" s="2" t="s">
        <v>11</v>
      </c>
      <c r="G46" s="2">
        <v>962.19</v>
      </c>
      <c r="H46" s="2">
        <v>154.38</v>
      </c>
    </row>
    <row r="47" spans="1:8" x14ac:dyDescent="0.35">
      <c r="A47" s="2" t="s">
        <v>87</v>
      </c>
      <c r="B47" s="3">
        <v>45314</v>
      </c>
      <c r="C47" s="2" t="s">
        <v>82</v>
      </c>
      <c r="D47" s="2" t="s">
        <v>9</v>
      </c>
      <c r="E47" s="2" t="s">
        <v>10</v>
      </c>
      <c r="F47" s="2" t="s">
        <v>11</v>
      </c>
      <c r="G47" s="2">
        <v>490.9</v>
      </c>
      <c r="H47" s="2">
        <v>42.46</v>
      </c>
    </row>
    <row r="48" spans="1:8" x14ac:dyDescent="0.35">
      <c r="A48" s="2" t="s">
        <v>88</v>
      </c>
      <c r="B48" s="3">
        <v>45429</v>
      </c>
      <c r="C48" s="2" t="s">
        <v>42</v>
      </c>
      <c r="D48" s="2" t="s">
        <v>17</v>
      </c>
      <c r="E48" s="2" t="s">
        <v>18</v>
      </c>
      <c r="F48" s="2" t="s">
        <v>19</v>
      </c>
      <c r="G48" s="2">
        <v>117.96</v>
      </c>
      <c r="H48" s="2">
        <v>36.159999999999997</v>
      </c>
    </row>
    <row r="49" spans="1:8" x14ac:dyDescent="0.35">
      <c r="A49" s="2" t="s">
        <v>89</v>
      </c>
      <c r="B49" s="3">
        <v>45404</v>
      </c>
      <c r="C49" s="2" t="s">
        <v>38</v>
      </c>
      <c r="D49" s="2" t="s">
        <v>13</v>
      </c>
      <c r="E49" s="2" t="s">
        <v>14</v>
      </c>
      <c r="F49" s="2" t="s">
        <v>63</v>
      </c>
      <c r="G49" s="2">
        <v>604.99</v>
      </c>
      <c r="H49" s="2">
        <v>90.54</v>
      </c>
    </row>
    <row r="50" spans="1:8" x14ac:dyDescent="0.35">
      <c r="A50" s="2" t="s">
        <v>90</v>
      </c>
      <c r="B50" s="3">
        <v>45453</v>
      </c>
      <c r="C50" s="2" t="s">
        <v>38</v>
      </c>
      <c r="D50" s="2" t="s">
        <v>17</v>
      </c>
      <c r="E50" s="2" t="s">
        <v>18</v>
      </c>
      <c r="F50" s="2" t="s">
        <v>34</v>
      </c>
      <c r="G50" s="2">
        <v>393.55</v>
      </c>
      <c r="H50" s="2">
        <v>-36.22</v>
      </c>
    </row>
    <row r="51" spans="1:8" x14ac:dyDescent="0.35">
      <c r="A51" s="2" t="s">
        <v>91</v>
      </c>
      <c r="B51" s="3">
        <v>45453</v>
      </c>
      <c r="C51" s="2" t="s">
        <v>38</v>
      </c>
      <c r="D51" s="2" t="s">
        <v>13</v>
      </c>
      <c r="E51" s="2" t="s">
        <v>14</v>
      </c>
      <c r="F51" s="2" t="s">
        <v>15</v>
      </c>
      <c r="G51" s="2">
        <v>243.42</v>
      </c>
      <c r="H51" s="2">
        <v>-28.2</v>
      </c>
    </row>
    <row r="52" spans="1:8" x14ac:dyDescent="0.35">
      <c r="A52" s="2" t="s">
        <v>92</v>
      </c>
      <c r="B52" s="3">
        <v>45477</v>
      </c>
      <c r="C52" s="2" t="s">
        <v>42</v>
      </c>
      <c r="D52" s="2" t="s">
        <v>9</v>
      </c>
      <c r="E52" s="2" t="s">
        <v>10</v>
      </c>
      <c r="F52" s="2" t="s">
        <v>40</v>
      </c>
      <c r="G52" s="2">
        <v>1320.51</v>
      </c>
      <c r="H52" s="2">
        <v>351.03</v>
      </c>
    </row>
    <row r="53" spans="1:8" x14ac:dyDescent="0.35">
      <c r="A53" s="2" t="s">
        <v>93</v>
      </c>
      <c r="B53" s="3">
        <v>45524</v>
      </c>
      <c r="C53" s="2" t="s">
        <v>42</v>
      </c>
      <c r="D53" s="2" t="s">
        <v>17</v>
      </c>
      <c r="E53" s="2" t="s">
        <v>18</v>
      </c>
      <c r="F53" s="2" t="s">
        <v>19</v>
      </c>
      <c r="G53" s="2">
        <v>960.81</v>
      </c>
      <c r="H53" s="2">
        <v>31.15</v>
      </c>
    </row>
    <row r="54" spans="1:8" x14ac:dyDescent="0.35">
      <c r="A54" s="2" t="s">
        <v>94</v>
      </c>
      <c r="B54" s="3">
        <v>45577</v>
      </c>
      <c r="C54" s="2" t="s">
        <v>82</v>
      </c>
      <c r="D54" s="2" t="s">
        <v>13</v>
      </c>
      <c r="E54" s="2" t="s">
        <v>24</v>
      </c>
      <c r="F54" s="2" t="s">
        <v>44</v>
      </c>
      <c r="G54" s="2">
        <v>561.35</v>
      </c>
      <c r="H54" s="2">
        <v>137.72</v>
      </c>
    </row>
    <row r="55" spans="1:8" x14ac:dyDescent="0.35">
      <c r="A55" s="2" t="s">
        <v>95</v>
      </c>
      <c r="B55" s="3">
        <v>45344</v>
      </c>
      <c r="C55" s="2" t="s">
        <v>42</v>
      </c>
      <c r="D55" s="2" t="s">
        <v>17</v>
      </c>
      <c r="E55" s="2" t="s">
        <v>27</v>
      </c>
      <c r="F55" s="2" t="s">
        <v>55</v>
      </c>
      <c r="G55" s="2">
        <v>543.44000000000005</v>
      </c>
      <c r="H55" s="2">
        <v>70.62</v>
      </c>
    </row>
    <row r="56" spans="1:8" x14ac:dyDescent="0.35">
      <c r="A56" s="2" t="s">
        <v>96</v>
      </c>
      <c r="B56" s="3">
        <v>45315</v>
      </c>
      <c r="C56" s="2" t="s">
        <v>33</v>
      </c>
      <c r="D56" s="2" t="s">
        <v>17</v>
      </c>
      <c r="E56" s="2" t="s">
        <v>27</v>
      </c>
      <c r="F56" s="2" t="s">
        <v>55</v>
      </c>
      <c r="G56" s="2">
        <v>998.67</v>
      </c>
      <c r="H56" s="2">
        <v>236.22</v>
      </c>
    </row>
    <row r="57" spans="1:8" x14ac:dyDescent="0.35">
      <c r="A57" s="2" t="s">
        <v>97</v>
      </c>
      <c r="B57" s="3">
        <v>45425</v>
      </c>
      <c r="C57" s="2" t="s">
        <v>38</v>
      </c>
      <c r="D57" s="2" t="s">
        <v>13</v>
      </c>
      <c r="E57" s="2" t="s">
        <v>24</v>
      </c>
      <c r="F57" s="2" t="s">
        <v>44</v>
      </c>
      <c r="G57" s="2">
        <v>322.3</v>
      </c>
      <c r="H57" s="2">
        <v>67.069999999999993</v>
      </c>
    </row>
    <row r="58" spans="1:8" x14ac:dyDescent="0.35">
      <c r="A58" s="2" t="s">
        <v>98</v>
      </c>
      <c r="B58" s="3">
        <v>45472</v>
      </c>
      <c r="C58" s="2" t="s">
        <v>38</v>
      </c>
      <c r="D58" s="2" t="s">
        <v>17</v>
      </c>
      <c r="E58" s="2" t="s">
        <v>18</v>
      </c>
      <c r="F58" s="2" t="s">
        <v>19</v>
      </c>
      <c r="G58" s="2">
        <v>173.33</v>
      </c>
      <c r="H58" s="2">
        <v>17.98</v>
      </c>
    </row>
    <row r="59" spans="1:8" x14ac:dyDescent="0.35">
      <c r="A59" s="2" t="s">
        <v>99</v>
      </c>
      <c r="B59" s="3">
        <v>45299</v>
      </c>
      <c r="C59" s="2" t="s">
        <v>33</v>
      </c>
      <c r="D59" s="2" t="s">
        <v>9</v>
      </c>
      <c r="E59" s="2" t="s">
        <v>10</v>
      </c>
      <c r="F59" s="2" t="s">
        <v>11</v>
      </c>
      <c r="G59" s="2">
        <v>1089.22</v>
      </c>
      <c r="H59" s="2">
        <v>59.9</v>
      </c>
    </row>
    <row r="60" spans="1:8" x14ac:dyDescent="0.35">
      <c r="A60" s="2" t="s">
        <v>100</v>
      </c>
      <c r="B60" s="3">
        <v>45385</v>
      </c>
      <c r="C60" s="2" t="s">
        <v>38</v>
      </c>
      <c r="D60" s="2" t="s">
        <v>17</v>
      </c>
      <c r="E60" s="2" t="s">
        <v>18</v>
      </c>
      <c r="F60" s="2" t="s">
        <v>19</v>
      </c>
      <c r="G60" s="2">
        <v>741.57</v>
      </c>
      <c r="H60" s="2">
        <v>20.329999999999998</v>
      </c>
    </row>
    <row r="61" spans="1:8" x14ac:dyDescent="0.35">
      <c r="A61" s="2" t="s">
        <v>101</v>
      </c>
      <c r="B61" s="3">
        <v>45550</v>
      </c>
      <c r="C61" s="2" t="s">
        <v>33</v>
      </c>
      <c r="D61" s="2" t="s">
        <v>13</v>
      </c>
      <c r="E61" s="2" t="s">
        <v>24</v>
      </c>
      <c r="F61" s="2" t="s">
        <v>44</v>
      </c>
      <c r="G61" s="2">
        <v>743.03</v>
      </c>
      <c r="H61" s="2">
        <v>224.89</v>
      </c>
    </row>
    <row r="62" spans="1:8" x14ac:dyDescent="0.35">
      <c r="A62" s="2" t="s">
        <v>102</v>
      </c>
      <c r="B62" s="3">
        <v>45434</v>
      </c>
      <c r="C62" s="2" t="s">
        <v>42</v>
      </c>
      <c r="D62" s="2" t="s">
        <v>13</v>
      </c>
      <c r="E62" s="2" t="s">
        <v>14</v>
      </c>
      <c r="F62" s="2" t="s">
        <v>15</v>
      </c>
      <c r="G62" s="2">
        <v>250.11</v>
      </c>
      <c r="H62" s="2">
        <v>82.19</v>
      </c>
    </row>
    <row r="63" spans="1:8" x14ac:dyDescent="0.35">
      <c r="A63" s="2" t="s">
        <v>103</v>
      </c>
      <c r="B63" s="3">
        <v>45528</v>
      </c>
      <c r="C63" s="2" t="s">
        <v>42</v>
      </c>
      <c r="D63" s="2" t="s">
        <v>17</v>
      </c>
      <c r="E63" s="2" t="s">
        <v>21</v>
      </c>
      <c r="F63" s="2" t="s">
        <v>75</v>
      </c>
      <c r="G63" s="2">
        <v>1421.65</v>
      </c>
      <c r="H63" s="2">
        <v>247.16</v>
      </c>
    </row>
    <row r="64" spans="1:8" x14ac:dyDescent="0.35">
      <c r="A64" s="2" t="s">
        <v>104</v>
      </c>
      <c r="B64" s="3">
        <v>45459</v>
      </c>
      <c r="C64" s="2" t="s">
        <v>33</v>
      </c>
      <c r="D64" s="2" t="s">
        <v>9</v>
      </c>
      <c r="E64" s="2" t="s">
        <v>30</v>
      </c>
      <c r="F64" s="2" t="s">
        <v>31</v>
      </c>
      <c r="G64" s="2">
        <v>615.54999999999995</v>
      </c>
      <c r="H64" s="2">
        <v>-1.34</v>
      </c>
    </row>
    <row r="65" spans="1:8" x14ac:dyDescent="0.35">
      <c r="A65" s="2" t="s">
        <v>105</v>
      </c>
      <c r="B65" s="3">
        <v>45456</v>
      </c>
      <c r="C65" s="2" t="s">
        <v>33</v>
      </c>
      <c r="D65" s="2" t="s">
        <v>13</v>
      </c>
      <c r="E65" s="2" t="s">
        <v>14</v>
      </c>
      <c r="F65" s="2" t="s">
        <v>15</v>
      </c>
      <c r="G65" s="2">
        <v>1307.01</v>
      </c>
      <c r="H65" s="2">
        <v>444.89</v>
      </c>
    </row>
    <row r="66" spans="1:8" x14ac:dyDescent="0.35">
      <c r="A66" s="2" t="s">
        <v>106</v>
      </c>
      <c r="B66" s="3">
        <v>45340</v>
      </c>
      <c r="C66" s="2" t="s">
        <v>38</v>
      </c>
      <c r="D66" s="2" t="s">
        <v>9</v>
      </c>
      <c r="E66" s="2" t="s">
        <v>78</v>
      </c>
      <c r="F66" s="2" t="s">
        <v>79</v>
      </c>
      <c r="G66" s="2">
        <v>163.46</v>
      </c>
      <c r="H66" s="2">
        <v>10.71</v>
      </c>
    </row>
    <row r="67" spans="1:8" x14ac:dyDescent="0.35">
      <c r="A67" s="2" t="s">
        <v>107</v>
      </c>
      <c r="B67" s="3">
        <v>45338</v>
      </c>
      <c r="C67" s="2" t="s">
        <v>33</v>
      </c>
      <c r="D67" s="2" t="s">
        <v>13</v>
      </c>
      <c r="E67" s="2" t="s">
        <v>14</v>
      </c>
      <c r="F67" s="2" t="s">
        <v>15</v>
      </c>
      <c r="G67" s="2">
        <v>715.62</v>
      </c>
      <c r="H67" s="2">
        <v>38.770000000000003</v>
      </c>
    </row>
    <row r="68" spans="1:8" x14ac:dyDescent="0.35">
      <c r="A68" s="2" t="s">
        <v>108</v>
      </c>
      <c r="B68" s="3">
        <v>45515</v>
      </c>
      <c r="C68" s="2" t="s">
        <v>38</v>
      </c>
      <c r="D68" s="2" t="s">
        <v>17</v>
      </c>
      <c r="E68" s="2" t="s">
        <v>18</v>
      </c>
      <c r="F68" s="2" t="s">
        <v>34</v>
      </c>
      <c r="G68" s="2">
        <v>22.5</v>
      </c>
      <c r="H68" s="2">
        <v>7.04</v>
      </c>
    </row>
    <row r="69" spans="1:8" x14ac:dyDescent="0.35">
      <c r="A69" s="2" t="s">
        <v>109</v>
      </c>
      <c r="B69" s="3">
        <v>45465</v>
      </c>
      <c r="C69" s="2" t="s">
        <v>82</v>
      </c>
      <c r="D69" s="2" t="s">
        <v>9</v>
      </c>
      <c r="E69" s="2" t="s">
        <v>10</v>
      </c>
      <c r="F69" s="2" t="s">
        <v>11</v>
      </c>
      <c r="G69" s="2">
        <v>1244.58</v>
      </c>
      <c r="H69" s="2">
        <v>61.44</v>
      </c>
    </row>
    <row r="70" spans="1:8" x14ac:dyDescent="0.35">
      <c r="A70" s="2" t="s">
        <v>110</v>
      </c>
      <c r="B70" s="3">
        <v>45428</v>
      </c>
      <c r="C70" s="2" t="s">
        <v>38</v>
      </c>
      <c r="D70" s="2" t="s">
        <v>9</v>
      </c>
      <c r="E70" s="2" t="s">
        <v>10</v>
      </c>
      <c r="F70" s="2" t="s">
        <v>40</v>
      </c>
      <c r="G70" s="2">
        <v>832.85</v>
      </c>
      <c r="H70" s="2">
        <v>261.38</v>
      </c>
    </row>
    <row r="71" spans="1:8" x14ac:dyDescent="0.35">
      <c r="A71" s="2" t="s">
        <v>111</v>
      </c>
      <c r="B71" s="3">
        <v>45365</v>
      </c>
      <c r="C71" s="2" t="s">
        <v>33</v>
      </c>
      <c r="D71" s="2" t="s">
        <v>9</v>
      </c>
      <c r="E71" s="2" t="s">
        <v>10</v>
      </c>
      <c r="F71" s="2" t="s">
        <v>40</v>
      </c>
      <c r="G71" s="2">
        <v>858.16</v>
      </c>
      <c r="H71" s="2">
        <v>43.24</v>
      </c>
    </row>
    <row r="72" spans="1:8" x14ac:dyDescent="0.35">
      <c r="A72" s="2" t="s">
        <v>112</v>
      </c>
      <c r="B72" s="3">
        <v>45299</v>
      </c>
      <c r="C72" s="2" t="s">
        <v>82</v>
      </c>
      <c r="D72" s="2" t="s">
        <v>13</v>
      </c>
      <c r="E72" s="2" t="s">
        <v>46</v>
      </c>
      <c r="F72" s="2" t="s">
        <v>61</v>
      </c>
      <c r="G72" s="2">
        <v>550.20000000000005</v>
      </c>
      <c r="H72" s="2">
        <v>134.37</v>
      </c>
    </row>
    <row r="73" spans="1:8" x14ac:dyDescent="0.35">
      <c r="A73" s="2" t="s">
        <v>113</v>
      </c>
      <c r="B73" s="3">
        <v>45407</v>
      </c>
      <c r="C73" s="2" t="s">
        <v>33</v>
      </c>
      <c r="D73" s="2" t="s">
        <v>17</v>
      </c>
      <c r="E73" s="2" t="s">
        <v>27</v>
      </c>
      <c r="F73" s="2" t="s">
        <v>28</v>
      </c>
      <c r="G73" s="2">
        <v>1213.71</v>
      </c>
      <c r="H73" s="2">
        <v>-92.63</v>
      </c>
    </row>
    <row r="74" spans="1:8" x14ac:dyDescent="0.35">
      <c r="A74" s="2" t="s">
        <v>114</v>
      </c>
      <c r="B74" s="3">
        <v>45516</v>
      </c>
      <c r="C74" s="2" t="s">
        <v>38</v>
      </c>
      <c r="D74" s="2" t="s">
        <v>13</v>
      </c>
      <c r="E74" s="2" t="s">
        <v>24</v>
      </c>
      <c r="F74" s="2" t="s">
        <v>44</v>
      </c>
      <c r="G74" s="2">
        <v>139.05000000000001</v>
      </c>
      <c r="H74" s="2">
        <v>-18.09</v>
      </c>
    </row>
    <row r="75" spans="1:8" x14ac:dyDescent="0.35">
      <c r="A75" s="2" t="s">
        <v>115</v>
      </c>
      <c r="B75" s="3">
        <v>45532</v>
      </c>
      <c r="C75" s="2" t="s">
        <v>38</v>
      </c>
      <c r="D75" s="2" t="s">
        <v>9</v>
      </c>
      <c r="E75" s="2" t="s">
        <v>78</v>
      </c>
      <c r="F75" s="2" t="s">
        <v>79</v>
      </c>
      <c r="G75" s="2">
        <v>48.69</v>
      </c>
      <c r="H75" s="2">
        <v>5.83</v>
      </c>
    </row>
    <row r="76" spans="1:8" x14ac:dyDescent="0.35">
      <c r="A76" s="2" t="s">
        <v>116</v>
      </c>
      <c r="B76" s="3">
        <v>45502</v>
      </c>
      <c r="C76" s="2" t="s">
        <v>38</v>
      </c>
      <c r="D76" s="2" t="s">
        <v>17</v>
      </c>
      <c r="E76" s="2" t="s">
        <v>27</v>
      </c>
      <c r="F76" s="2" t="s">
        <v>28</v>
      </c>
      <c r="G76" s="2">
        <v>1207.31</v>
      </c>
      <c r="H76" s="2">
        <v>340.5</v>
      </c>
    </row>
    <row r="77" spans="1:8" x14ac:dyDescent="0.35">
      <c r="A77" s="2" t="s">
        <v>117</v>
      </c>
      <c r="B77" s="3">
        <v>45545</v>
      </c>
      <c r="C77" s="2" t="s">
        <v>38</v>
      </c>
      <c r="D77" s="2" t="s">
        <v>13</v>
      </c>
      <c r="E77" s="2" t="s">
        <v>24</v>
      </c>
      <c r="F77" s="2" t="s">
        <v>25</v>
      </c>
      <c r="G77" s="2">
        <v>0</v>
      </c>
      <c r="H77" s="2">
        <v>-125.79</v>
      </c>
    </row>
    <row r="78" spans="1:8" x14ac:dyDescent="0.35">
      <c r="A78" s="2" t="s">
        <v>118</v>
      </c>
      <c r="B78" s="3">
        <v>45525</v>
      </c>
      <c r="C78" s="2" t="s">
        <v>42</v>
      </c>
      <c r="D78" s="2" t="s">
        <v>9</v>
      </c>
      <c r="E78" s="2" t="s">
        <v>30</v>
      </c>
      <c r="F78" s="2" t="s">
        <v>57</v>
      </c>
      <c r="G78" s="2">
        <v>633.37</v>
      </c>
      <c r="H78" s="2">
        <v>104.43</v>
      </c>
    </row>
    <row r="79" spans="1:8" x14ac:dyDescent="0.35">
      <c r="A79" s="2" t="s">
        <v>119</v>
      </c>
      <c r="B79" s="3">
        <v>45415</v>
      </c>
      <c r="C79" s="2" t="s">
        <v>82</v>
      </c>
      <c r="D79" s="2" t="s">
        <v>17</v>
      </c>
      <c r="E79" s="2" t="s">
        <v>21</v>
      </c>
      <c r="F79" s="2" t="s">
        <v>22</v>
      </c>
      <c r="G79" s="2">
        <v>756.55</v>
      </c>
      <c r="H79" s="2">
        <v>107.11</v>
      </c>
    </row>
    <row r="80" spans="1:8" x14ac:dyDescent="0.35">
      <c r="A80" s="2" t="s">
        <v>120</v>
      </c>
      <c r="B80" s="3">
        <v>45366</v>
      </c>
      <c r="C80" s="2" t="s">
        <v>33</v>
      </c>
      <c r="D80" s="2" t="s">
        <v>13</v>
      </c>
      <c r="E80" s="2" t="s">
        <v>46</v>
      </c>
      <c r="F80" s="2" t="s">
        <v>47</v>
      </c>
      <c r="G80" s="2">
        <v>1481.54</v>
      </c>
      <c r="H80" s="2">
        <v>177.94</v>
      </c>
    </row>
    <row r="81" spans="1:8" x14ac:dyDescent="0.35">
      <c r="A81" s="2" t="s">
        <v>121</v>
      </c>
      <c r="B81" s="3">
        <v>45586</v>
      </c>
      <c r="C81" s="2" t="s">
        <v>42</v>
      </c>
      <c r="D81" s="2" t="s">
        <v>9</v>
      </c>
      <c r="E81" s="2" t="s">
        <v>78</v>
      </c>
      <c r="F81" s="2" t="s">
        <v>79</v>
      </c>
      <c r="G81" s="2">
        <v>582.96</v>
      </c>
      <c r="H81" s="2">
        <v>-85.73</v>
      </c>
    </row>
    <row r="82" spans="1:8" x14ac:dyDescent="0.35">
      <c r="A82" s="2" t="s">
        <v>122</v>
      </c>
      <c r="B82" s="3">
        <v>45540</v>
      </c>
      <c r="C82" s="2" t="s">
        <v>42</v>
      </c>
      <c r="D82" s="2" t="s">
        <v>17</v>
      </c>
      <c r="E82" s="2" t="s">
        <v>21</v>
      </c>
      <c r="F82" s="2" t="s">
        <v>22</v>
      </c>
      <c r="G82" s="2">
        <v>732.41</v>
      </c>
      <c r="H82" s="2">
        <v>206.78</v>
      </c>
    </row>
    <row r="83" spans="1:8" x14ac:dyDescent="0.35">
      <c r="A83" s="2" t="s">
        <v>123</v>
      </c>
      <c r="B83" s="3">
        <v>45588</v>
      </c>
      <c r="C83" s="2" t="s">
        <v>42</v>
      </c>
      <c r="D83" s="2" t="s">
        <v>9</v>
      </c>
      <c r="E83" s="2" t="s">
        <v>10</v>
      </c>
      <c r="F83" s="2" t="s">
        <v>11</v>
      </c>
      <c r="G83" s="2">
        <v>917.86</v>
      </c>
      <c r="H83" s="2">
        <v>10.210000000000001</v>
      </c>
    </row>
    <row r="84" spans="1:8" x14ac:dyDescent="0.35">
      <c r="A84" s="2" t="s">
        <v>124</v>
      </c>
      <c r="B84" s="3">
        <v>45447</v>
      </c>
      <c r="C84" s="2" t="s">
        <v>38</v>
      </c>
      <c r="D84" s="2" t="s">
        <v>17</v>
      </c>
      <c r="E84" s="2" t="s">
        <v>21</v>
      </c>
      <c r="F84" s="2" t="s">
        <v>75</v>
      </c>
      <c r="G84" s="2">
        <v>1493.97</v>
      </c>
      <c r="H84" s="2">
        <v>-137.36000000000001</v>
      </c>
    </row>
    <row r="85" spans="1:8" x14ac:dyDescent="0.35">
      <c r="A85" s="2" t="s">
        <v>125</v>
      </c>
      <c r="B85" s="3">
        <v>45581</v>
      </c>
      <c r="C85" s="2" t="s">
        <v>82</v>
      </c>
      <c r="D85" s="2" t="s">
        <v>13</v>
      </c>
      <c r="E85" s="2" t="s">
        <v>14</v>
      </c>
      <c r="F85" s="2" t="s">
        <v>63</v>
      </c>
      <c r="G85" s="2">
        <v>1178.3</v>
      </c>
      <c r="H85" s="2">
        <v>27.81</v>
      </c>
    </row>
    <row r="86" spans="1:8" x14ac:dyDescent="0.35">
      <c r="A86" s="2" t="s">
        <v>126</v>
      </c>
      <c r="B86" s="3">
        <v>45529</v>
      </c>
      <c r="C86" s="2" t="s">
        <v>33</v>
      </c>
      <c r="D86" s="2" t="s">
        <v>17</v>
      </c>
      <c r="E86" s="2" t="s">
        <v>27</v>
      </c>
      <c r="F86" s="2" t="s">
        <v>55</v>
      </c>
      <c r="G86" s="2">
        <v>1365.89</v>
      </c>
      <c r="H86" s="2">
        <v>1.5</v>
      </c>
    </row>
    <row r="87" spans="1:8" x14ac:dyDescent="0.35">
      <c r="A87" s="2" t="s">
        <v>127</v>
      </c>
      <c r="B87" s="3">
        <v>45427</v>
      </c>
      <c r="C87" s="2" t="s">
        <v>42</v>
      </c>
      <c r="D87" s="2" t="s">
        <v>9</v>
      </c>
      <c r="E87" s="2" t="s">
        <v>10</v>
      </c>
      <c r="F87" s="2" t="s">
        <v>11</v>
      </c>
      <c r="G87" s="2">
        <v>1391.25</v>
      </c>
      <c r="H87" s="2">
        <v>337.47</v>
      </c>
    </row>
    <row r="88" spans="1:8" x14ac:dyDescent="0.35">
      <c r="A88" s="2" t="s">
        <v>128</v>
      </c>
      <c r="B88" s="3">
        <v>45422</v>
      </c>
      <c r="C88" s="2" t="s">
        <v>82</v>
      </c>
      <c r="D88" s="2" t="s">
        <v>13</v>
      </c>
      <c r="E88" s="2" t="s">
        <v>14</v>
      </c>
      <c r="F88" s="2" t="s">
        <v>15</v>
      </c>
      <c r="G88" s="2">
        <v>1006.92</v>
      </c>
      <c r="H88" s="2">
        <v>301.52999999999997</v>
      </c>
    </row>
    <row r="89" spans="1:8" x14ac:dyDescent="0.35">
      <c r="A89" s="2" t="s">
        <v>129</v>
      </c>
      <c r="B89" s="3">
        <v>45515</v>
      </c>
      <c r="C89" s="2" t="s">
        <v>42</v>
      </c>
      <c r="D89" s="2" t="s">
        <v>9</v>
      </c>
      <c r="E89" s="2" t="s">
        <v>30</v>
      </c>
      <c r="F89" s="2" t="s">
        <v>31</v>
      </c>
      <c r="G89" s="2">
        <v>917.19</v>
      </c>
      <c r="H89" s="2">
        <v>96.96</v>
      </c>
    </row>
    <row r="90" spans="1:8" x14ac:dyDescent="0.35">
      <c r="A90" s="2" t="s">
        <v>130</v>
      </c>
      <c r="B90" s="3">
        <v>45332</v>
      </c>
      <c r="C90" s="2" t="s">
        <v>42</v>
      </c>
      <c r="D90" s="2" t="s">
        <v>13</v>
      </c>
      <c r="E90" s="2" t="s">
        <v>46</v>
      </c>
      <c r="F90" s="2" t="s">
        <v>47</v>
      </c>
      <c r="G90" s="2">
        <v>837.02</v>
      </c>
      <c r="H90" s="2">
        <v>221.56</v>
      </c>
    </row>
    <row r="91" spans="1:8" x14ac:dyDescent="0.35">
      <c r="A91" s="2" t="s">
        <v>131</v>
      </c>
      <c r="B91" s="3">
        <v>45381</v>
      </c>
      <c r="C91" s="2" t="s">
        <v>82</v>
      </c>
      <c r="D91" s="2" t="s">
        <v>9</v>
      </c>
      <c r="E91" s="2" t="s">
        <v>30</v>
      </c>
      <c r="F91" s="2" t="s">
        <v>31</v>
      </c>
      <c r="G91" s="2">
        <v>930.96</v>
      </c>
      <c r="H91" s="2">
        <v>0.44</v>
      </c>
    </row>
    <row r="92" spans="1:8" x14ac:dyDescent="0.35">
      <c r="A92" s="2" t="s">
        <v>132</v>
      </c>
      <c r="B92" s="3">
        <v>45531</v>
      </c>
      <c r="C92" s="2" t="s">
        <v>38</v>
      </c>
      <c r="D92" s="2" t="s">
        <v>13</v>
      </c>
      <c r="E92" s="2" t="s">
        <v>14</v>
      </c>
      <c r="F92" s="2" t="s">
        <v>63</v>
      </c>
      <c r="G92" s="2">
        <v>1445.08</v>
      </c>
      <c r="H92" s="2">
        <v>-115.06</v>
      </c>
    </row>
    <row r="93" spans="1:8" x14ac:dyDescent="0.35">
      <c r="A93" s="2" t="s">
        <v>133</v>
      </c>
      <c r="B93" s="3">
        <v>45428</v>
      </c>
      <c r="C93" s="2" t="s">
        <v>33</v>
      </c>
      <c r="D93" s="2" t="s">
        <v>17</v>
      </c>
      <c r="E93" s="2" t="s">
        <v>18</v>
      </c>
      <c r="F93" s="2" t="s">
        <v>34</v>
      </c>
      <c r="G93" s="2">
        <v>62.85</v>
      </c>
      <c r="H93" s="2">
        <v>-0.84</v>
      </c>
    </row>
    <row r="94" spans="1:8" x14ac:dyDescent="0.35">
      <c r="A94" s="2" t="s">
        <v>134</v>
      </c>
      <c r="B94" s="3">
        <v>45420</v>
      </c>
      <c r="C94" s="2" t="s">
        <v>33</v>
      </c>
      <c r="D94" s="2" t="s">
        <v>9</v>
      </c>
      <c r="E94" s="2" t="s">
        <v>78</v>
      </c>
      <c r="F94" s="2" t="s">
        <v>83</v>
      </c>
      <c r="G94" s="2">
        <v>361.2</v>
      </c>
      <c r="H94" s="2">
        <v>76.08</v>
      </c>
    </row>
    <row r="95" spans="1:8" x14ac:dyDescent="0.35">
      <c r="A95" s="2" t="s">
        <v>135</v>
      </c>
      <c r="B95" s="3">
        <v>45417</v>
      </c>
      <c r="C95" s="2" t="s">
        <v>33</v>
      </c>
      <c r="D95" s="2" t="s">
        <v>9</v>
      </c>
      <c r="E95" s="2" t="s">
        <v>78</v>
      </c>
      <c r="F95" s="2" t="s">
        <v>79</v>
      </c>
      <c r="G95" s="2">
        <v>806.13</v>
      </c>
      <c r="H95" s="2">
        <v>107.19</v>
      </c>
    </row>
    <row r="96" spans="1:8" x14ac:dyDescent="0.35">
      <c r="A96" s="2" t="s">
        <v>136</v>
      </c>
      <c r="B96" s="3">
        <v>45481</v>
      </c>
      <c r="C96" s="2" t="s">
        <v>82</v>
      </c>
      <c r="D96" s="2" t="s">
        <v>17</v>
      </c>
      <c r="E96" s="2" t="s">
        <v>18</v>
      </c>
      <c r="F96" s="2" t="s">
        <v>19</v>
      </c>
      <c r="G96" s="2">
        <v>1012.32</v>
      </c>
      <c r="H96" s="2">
        <v>224.3</v>
      </c>
    </row>
    <row r="97" spans="1:8" x14ac:dyDescent="0.35">
      <c r="A97" s="2" t="s">
        <v>137</v>
      </c>
      <c r="B97" s="3">
        <v>45563</v>
      </c>
      <c r="C97" s="2" t="s">
        <v>82</v>
      </c>
      <c r="D97" s="2" t="s">
        <v>17</v>
      </c>
      <c r="E97" s="2" t="s">
        <v>21</v>
      </c>
      <c r="F97" s="2" t="s">
        <v>75</v>
      </c>
      <c r="G97" s="2">
        <v>774.73</v>
      </c>
      <c r="H97" s="2">
        <v>234.71</v>
      </c>
    </row>
    <row r="98" spans="1:8" x14ac:dyDescent="0.35">
      <c r="A98" s="2" t="s">
        <v>138</v>
      </c>
      <c r="B98" s="3">
        <v>45375</v>
      </c>
      <c r="C98" s="2" t="s">
        <v>33</v>
      </c>
      <c r="D98" s="2" t="s">
        <v>17</v>
      </c>
      <c r="E98" s="2" t="s">
        <v>27</v>
      </c>
      <c r="F98" s="2" t="s">
        <v>55</v>
      </c>
      <c r="G98" s="2">
        <v>1447.79</v>
      </c>
      <c r="H98" s="2">
        <v>-138.91999999999999</v>
      </c>
    </row>
    <row r="99" spans="1:8" x14ac:dyDescent="0.35">
      <c r="A99" s="2" t="s">
        <v>139</v>
      </c>
      <c r="B99" s="3">
        <v>45523</v>
      </c>
      <c r="C99" s="2" t="s">
        <v>42</v>
      </c>
      <c r="D99" s="2" t="s">
        <v>9</v>
      </c>
      <c r="E99" s="2" t="s">
        <v>78</v>
      </c>
      <c r="F99" s="2" t="s">
        <v>79</v>
      </c>
      <c r="G99" s="2">
        <v>765.68</v>
      </c>
      <c r="H99" s="2">
        <v>247.09</v>
      </c>
    </row>
    <row r="100" spans="1:8" x14ac:dyDescent="0.35">
      <c r="A100" s="2" t="s">
        <v>140</v>
      </c>
      <c r="B100" s="3">
        <v>45563</v>
      </c>
      <c r="C100" s="2" t="s">
        <v>82</v>
      </c>
      <c r="D100" s="2" t="s">
        <v>13</v>
      </c>
      <c r="E100" s="2" t="s">
        <v>46</v>
      </c>
      <c r="F100" s="2" t="s">
        <v>61</v>
      </c>
      <c r="G100" s="2">
        <v>338.4</v>
      </c>
      <c r="H100" s="2">
        <v>20.28</v>
      </c>
    </row>
    <row r="101" spans="1:8" x14ac:dyDescent="0.35">
      <c r="A101" s="2" t="s">
        <v>141</v>
      </c>
      <c r="B101" s="3">
        <v>45582</v>
      </c>
      <c r="C101" s="2" t="s">
        <v>33</v>
      </c>
      <c r="D101" s="2" t="s">
        <v>9</v>
      </c>
      <c r="E101" s="2" t="s">
        <v>78</v>
      </c>
      <c r="F101" s="2" t="s">
        <v>83</v>
      </c>
      <c r="G101" s="2">
        <v>902.41</v>
      </c>
      <c r="H101" s="2">
        <v>263.20999999999998</v>
      </c>
    </row>
    <row r="102" spans="1:8" x14ac:dyDescent="0.35">
      <c r="A102" s="2" t="s">
        <v>142</v>
      </c>
      <c r="B102" s="3">
        <v>45306</v>
      </c>
      <c r="C102" s="2" t="s">
        <v>42</v>
      </c>
      <c r="D102" s="2" t="s">
        <v>17</v>
      </c>
      <c r="E102" s="2" t="s">
        <v>27</v>
      </c>
      <c r="F102" s="2" t="s">
        <v>28</v>
      </c>
      <c r="G102" s="2">
        <v>88.07</v>
      </c>
      <c r="H102" s="2">
        <v>21.85</v>
      </c>
    </row>
    <row r="103" spans="1:8" x14ac:dyDescent="0.35">
      <c r="A103" s="2" t="s">
        <v>143</v>
      </c>
      <c r="B103" s="3">
        <v>45450</v>
      </c>
      <c r="C103" s="2" t="s">
        <v>82</v>
      </c>
      <c r="D103" s="2" t="s">
        <v>17</v>
      </c>
      <c r="E103" s="2" t="s">
        <v>27</v>
      </c>
      <c r="F103" s="2" t="s">
        <v>55</v>
      </c>
      <c r="G103" s="2">
        <v>1187.1400000000001</v>
      </c>
      <c r="H103" s="2">
        <v>-158.27000000000001</v>
      </c>
    </row>
    <row r="104" spans="1:8" x14ac:dyDescent="0.35">
      <c r="A104" s="2" t="s">
        <v>144</v>
      </c>
      <c r="B104" s="3">
        <v>45329</v>
      </c>
      <c r="C104" s="2" t="s">
        <v>38</v>
      </c>
      <c r="D104" s="2" t="s">
        <v>13</v>
      </c>
      <c r="E104" s="2" t="s">
        <v>24</v>
      </c>
      <c r="F104" s="2" t="s">
        <v>25</v>
      </c>
      <c r="G104" s="2">
        <v>673.76</v>
      </c>
      <c r="H104" s="2">
        <v>15.35</v>
      </c>
    </row>
    <row r="105" spans="1:8" x14ac:dyDescent="0.35">
      <c r="A105" s="2" t="s">
        <v>145</v>
      </c>
      <c r="B105" s="3">
        <v>45500</v>
      </c>
      <c r="C105" s="2" t="s">
        <v>82</v>
      </c>
      <c r="D105" s="2" t="s">
        <v>17</v>
      </c>
      <c r="E105" s="2" t="s">
        <v>21</v>
      </c>
      <c r="F105" s="2" t="s">
        <v>22</v>
      </c>
      <c r="G105" s="2">
        <v>509.7</v>
      </c>
      <c r="H105" s="2">
        <v>42.29</v>
      </c>
    </row>
    <row r="106" spans="1:8" x14ac:dyDescent="0.35">
      <c r="A106" s="2" t="s">
        <v>146</v>
      </c>
      <c r="B106" s="3">
        <v>45335</v>
      </c>
      <c r="C106" s="2" t="s">
        <v>42</v>
      </c>
      <c r="D106" s="2" t="s">
        <v>17</v>
      </c>
      <c r="E106" s="2" t="s">
        <v>27</v>
      </c>
      <c r="F106" s="2" t="s">
        <v>28</v>
      </c>
      <c r="G106" s="2">
        <v>1491</v>
      </c>
      <c r="H106" s="2">
        <v>-135.34</v>
      </c>
    </row>
    <row r="107" spans="1:8" x14ac:dyDescent="0.35">
      <c r="A107" s="2" t="s">
        <v>147</v>
      </c>
      <c r="B107" s="3">
        <v>45502</v>
      </c>
      <c r="C107" s="2" t="s">
        <v>33</v>
      </c>
      <c r="D107" s="2" t="s">
        <v>17</v>
      </c>
      <c r="E107" s="2" t="s">
        <v>21</v>
      </c>
      <c r="F107" s="2" t="s">
        <v>22</v>
      </c>
      <c r="G107" s="2">
        <v>1046.6400000000001</v>
      </c>
      <c r="H107" s="2">
        <v>-6.17</v>
      </c>
    </row>
    <row r="108" spans="1:8" x14ac:dyDescent="0.35">
      <c r="A108" s="2" t="s">
        <v>148</v>
      </c>
      <c r="B108" s="3">
        <v>45541</v>
      </c>
      <c r="C108" s="2" t="s">
        <v>33</v>
      </c>
      <c r="D108" s="2" t="s">
        <v>9</v>
      </c>
      <c r="E108" s="2" t="s">
        <v>78</v>
      </c>
      <c r="F108" s="2" t="s">
        <v>79</v>
      </c>
      <c r="G108" s="2">
        <v>344.74</v>
      </c>
      <c r="H108" s="2">
        <v>23.41</v>
      </c>
    </row>
    <row r="109" spans="1:8" x14ac:dyDescent="0.35">
      <c r="A109" s="2" t="s">
        <v>149</v>
      </c>
      <c r="B109" s="3">
        <v>45495</v>
      </c>
      <c r="C109" s="2" t="s">
        <v>82</v>
      </c>
      <c r="D109" s="2" t="s">
        <v>9</v>
      </c>
      <c r="E109" s="2" t="s">
        <v>78</v>
      </c>
      <c r="F109" s="2" t="s">
        <v>83</v>
      </c>
      <c r="G109" s="2">
        <v>981.76</v>
      </c>
      <c r="H109" s="2">
        <v>270.85000000000002</v>
      </c>
    </row>
    <row r="110" spans="1:8" x14ac:dyDescent="0.35">
      <c r="A110" s="2" t="s">
        <v>150</v>
      </c>
      <c r="B110" s="3">
        <v>45323</v>
      </c>
      <c r="C110" s="2" t="s">
        <v>33</v>
      </c>
      <c r="D110" s="2" t="s">
        <v>13</v>
      </c>
      <c r="E110" s="2" t="s">
        <v>14</v>
      </c>
      <c r="F110" s="2" t="s">
        <v>15</v>
      </c>
      <c r="G110" s="2">
        <v>609.25</v>
      </c>
      <c r="H110" s="2">
        <v>-33.57</v>
      </c>
    </row>
    <row r="111" spans="1:8" x14ac:dyDescent="0.35">
      <c r="A111" s="2" t="s">
        <v>151</v>
      </c>
      <c r="B111" s="3">
        <v>45477</v>
      </c>
      <c r="C111" s="2" t="s">
        <v>33</v>
      </c>
      <c r="D111" s="2" t="s">
        <v>13</v>
      </c>
      <c r="E111" s="2" t="s">
        <v>14</v>
      </c>
      <c r="F111" s="2" t="s">
        <v>15</v>
      </c>
      <c r="G111" s="2">
        <v>344.59</v>
      </c>
      <c r="H111" s="2">
        <v>120.18</v>
      </c>
    </row>
    <row r="112" spans="1:8" x14ac:dyDescent="0.35">
      <c r="A112" s="2" t="s">
        <v>152</v>
      </c>
      <c r="B112" s="3">
        <v>45480</v>
      </c>
      <c r="C112" s="2" t="s">
        <v>42</v>
      </c>
      <c r="D112" s="2" t="s">
        <v>13</v>
      </c>
      <c r="E112" s="2" t="s">
        <v>46</v>
      </c>
      <c r="F112" s="2" t="s">
        <v>47</v>
      </c>
      <c r="G112" s="2">
        <v>1015.79</v>
      </c>
      <c r="H112" s="2">
        <v>189.11</v>
      </c>
    </row>
    <row r="113" spans="1:8" x14ac:dyDescent="0.35">
      <c r="A113" s="2" t="s">
        <v>153</v>
      </c>
      <c r="B113" s="3">
        <v>45515</v>
      </c>
      <c r="C113" s="2" t="s">
        <v>33</v>
      </c>
      <c r="D113" s="2" t="s">
        <v>9</v>
      </c>
      <c r="E113" s="2" t="s">
        <v>30</v>
      </c>
      <c r="F113" s="2" t="s">
        <v>57</v>
      </c>
      <c r="G113" s="2">
        <v>47.74</v>
      </c>
      <c r="H113" s="2">
        <v>14.83</v>
      </c>
    </row>
    <row r="114" spans="1:8" x14ac:dyDescent="0.35">
      <c r="A114" s="2" t="s">
        <v>154</v>
      </c>
      <c r="B114" s="3">
        <v>45329</v>
      </c>
      <c r="C114" s="2" t="s">
        <v>42</v>
      </c>
      <c r="D114" s="2" t="s">
        <v>9</v>
      </c>
      <c r="E114" s="2" t="s">
        <v>30</v>
      </c>
      <c r="F114" s="2" t="s">
        <v>57</v>
      </c>
      <c r="G114" s="2">
        <v>815.7</v>
      </c>
      <c r="H114" s="2">
        <v>83.97</v>
      </c>
    </row>
    <row r="115" spans="1:8" x14ac:dyDescent="0.35">
      <c r="A115" s="2" t="s">
        <v>155</v>
      </c>
      <c r="B115" s="3">
        <v>45577</v>
      </c>
      <c r="C115" s="2" t="s">
        <v>82</v>
      </c>
      <c r="D115" s="2" t="s">
        <v>9</v>
      </c>
      <c r="E115" s="2" t="s">
        <v>78</v>
      </c>
      <c r="F115" s="2" t="s">
        <v>83</v>
      </c>
      <c r="G115" s="2">
        <v>345.03</v>
      </c>
      <c r="H115" s="2">
        <v>4.1900000000000004</v>
      </c>
    </row>
    <row r="116" spans="1:8" x14ac:dyDescent="0.35">
      <c r="A116" s="2" t="s">
        <v>156</v>
      </c>
      <c r="B116" s="3">
        <v>45335</v>
      </c>
      <c r="C116" s="2" t="s">
        <v>33</v>
      </c>
      <c r="D116" s="2" t="s">
        <v>17</v>
      </c>
      <c r="E116" s="2" t="s">
        <v>21</v>
      </c>
      <c r="F116" s="2" t="s">
        <v>75</v>
      </c>
      <c r="G116" s="2">
        <v>1103.22</v>
      </c>
      <c r="H116" s="2">
        <v>284.64</v>
      </c>
    </row>
    <row r="117" spans="1:8" x14ac:dyDescent="0.35">
      <c r="A117" s="2" t="s">
        <v>157</v>
      </c>
      <c r="B117" s="3">
        <v>45370</v>
      </c>
      <c r="C117" s="2" t="s">
        <v>42</v>
      </c>
      <c r="D117" s="2" t="s">
        <v>13</v>
      </c>
      <c r="E117" s="2" t="s">
        <v>24</v>
      </c>
      <c r="F117" s="2" t="s">
        <v>25</v>
      </c>
      <c r="G117" s="2">
        <v>573.39</v>
      </c>
      <c r="H117" s="2">
        <v>-39.69</v>
      </c>
    </row>
    <row r="118" spans="1:8" x14ac:dyDescent="0.35">
      <c r="A118" s="2" t="s">
        <v>158</v>
      </c>
      <c r="B118" s="3">
        <v>45317</v>
      </c>
      <c r="C118" s="2" t="s">
        <v>82</v>
      </c>
      <c r="D118" s="2" t="s">
        <v>9</v>
      </c>
      <c r="E118" s="2" t="s">
        <v>30</v>
      </c>
      <c r="F118" s="2" t="s">
        <v>57</v>
      </c>
      <c r="G118" s="2">
        <v>985.17</v>
      </c>
      <c r="H118" s="2">
        <v>118.51</v>
      </c>
    </row>
    <row r="119" spans="1:8" x14ac:dyDescent="0.35">
      <c r="A119" s="2" t="s">
        <v>159</v>
      </c>
      <c r="B119" s="3">
        <v>45557</v>
      </c>
      <c r="C119" s="2" t="s">
        <v>42</v>
      </c>
      <c r="D119" s="2" t="s">
        <v>9</v>
      </c>
      <c r="E119" s="2" t="s">
        <v>10</v>
      </c>
      <c r="F119" s="2" t="s">
        <v>40</v>
      </c>
      <c r="G119" s="2">
        <v>707.53</v>
      </c>
      <c r="H119" s="2">
        <v>91.06</v>
      </c>
    </row>
    <row r="120" spans="1:8" x14ac:dyDescent="0.35">
      <c r="A120" s="2" t="s">
        <v>160</v>
      </c>
      <c r="B120" s="3">
        <v>45368</v>
      </c>
      <c r="C120" s="2" t="s">
        <v>33</v>
      </c>
      <c r="D120" s="2" t="s">
        <v>13</v>
      </c>
      <c r="E120" s="2" t="s">
        <v>24</v>
      </c>
      <c r="F120" s="2" t="s">
        <v>44</v>
      </c>
      <c r="G120" s="2">
        <v>680.89</v>
      </c>
      <c r="H120" s="2">
        <v>62.76</v>
      </c>
    </row>
    <row r="121" spans="1:8" x14ac:dyDescent="0.35">
      <c r="A121" s="2" t="s">
        <v>161</v>
      </c>
      <c r="B121" s="3">
        <v>45579</v>
      </c>
      <c r="C121" s="2" t="s">
        <v>33</v>
      </c>
      <c r="D121" s="2" t="s">
        <v>13</v>
      </c>
      <c r="E121" s="2" t="s">
        <v>14</v>
      </c>
      <c r="F121" s="2" t="s">
        <v>15</v>
      </c>
      <c r="G121" s="2">
        <v>34.31</v>
      </c>
      <c r="H121" s="2">
        <v>-3.86</v>
      </c>
    </row>
    <row r="122" spans="1:8" x14ac:dyDescent="0.35">
      <c r="A122" s="2" t="s">
        <v>162</v>
      </c>
      <c r="B122" s="3">
        <v>45363</v>
      </c>
      <c r="C122" s="2" t="s">
        <v>42</v>
      </c>
      <c r="D122" s="2" t="s">
        <v>17</v>
      </c>
      <c r="E122" s="2" t="s">
        <v>21</v>
      </c>
      <c r="F122" s="2" t="s">
        <v>22</v>
      </c>
      <c r="G122" s="2">
        <v>644.38</v>
      </c>
      <c r="H122" s="2">
        <v>-6.91</v>
      </c>
    </row>
    <row r="123" spans="1:8" x14ac:dyDescent="0.35">
      <c r="A123" s="2" t="s">
        <v>163</v>
      </c>
      <c r="B123" s="3">
        <v>45472</v>
      </c>
      <c r="C123" s="2" t="s">
        <v>38</v>
      </c>
      <c r="D123" s="2" t="s">
        <v>9</v>
      </c>
      <c r="E123" s="2" t="s">
        <v>78</v>
      </c>
      <c r="F123" s="2" t="s">
        <v>79</v>
      </c>
      <c r="G123" s="2">
        <v>770.86</v>
      </c>
      <c r="H123" s="2">
        <v>4.01</v>
      </c>
    </row>
    <row r="124" spans="1:8" x14ac:dyDescent="0.35">
      <c r="A124" s="2" t="s">
        <v>164</v>
      </c>
      <c r="B124" s="3">
        <v>45296</v>
      </c>
      <c r="C124" s="2" t="s">
        <v>33</v>
      </c>
      <c r="D124" s="2" t="s">
        <v>13</v>
      </c>
      <c r="E124" s="2" t="s">
        <v>14</v>
      </c>
      <c r="F124" s="2" t="s">
        <v>15</v>
      </c>
      <c r="G124" s="2">
        <v>857.57</v>
      </c>
      <c r="H124" s="2">
        <v>165.43</v>
      </c>
    </row>
    <row r="125" spans="1:8" x14ac:dyDescent="0.35">
      <c r="A125" s="2" t="s">
        <v>165</v>
      </c>
      <c r="B125" s="3">
        <v>45575</v>
      </c>
      <c r="C125" s="2" t="s">
        <v>33</v>
      </c>
      <c r="D125" s="2" t="s">
        <v>13</v>
      </c>
      <c r="E125" s="2" t="s">
        <v>24</v>
      </c>
      <c r="F125" s="2" t="s">
        <v>25</v>
      </c>
      <c r="G125" s="2">
        <v>463.08</v>
      </c>
      <c r="H125" s="2">
        <v>84.14</v>
      </c>
    </row>
    <row r="126" spans="1:8" x14ac:dyDescent="0.35">
      <c r="A126" s="2" t="s">
        <v>166</v>
      </c>
      <c r="B126" s="3">
        <v>45375</v>
      </c>
      <c r="C126" s="2" t="s">
        <v>38</v>
      </c>
      <c r="D126" s="2" t="s">
        <v>13</v>
      </c>
      <c r="E126" s="2" t="s">
        <v>46</v>
      </c>
      <c r="F126" s="2" t="s">
        <v>61</v>
      </c>
      <c r="G126" s="2">
        <v>1464.78</v>
      </c>
      <c r="H126" s="2">
        <v>374.08</v>
      </c>
    </row>
    <row r="127" spans="1:8" x14ac:dyDescent="0.35">
      <c r="A127" s="2" t="s">
        <v>167</v>
      </c>
      <c r="B127" s="3">
        <v>45475</v>
      </c>
      <c r="C127" s="2" t="s">
        <v>33</v>
      </c>
      <c r="D127" s="2" t="s">
        <v>17</v>
      </c>
      <c r="E127" s="2" t="s">
        <v>18</v>
      </c>
      <c r="F127" s="2" t="s">
        <v>34</v>
      </c>
      <c r="G127" s="2">
        <v>1274.29</v>
      </c>
      <c r="H127" s="2">
        <v>193.52</v>
      </c>
    </row>
    <row r="128" spans="1:8" x14ac:dyDescent="0.35">
      <c r="A128" s="2" t="s">
        <v>168</v>
      </c>
      <c r="B128" s="3">
        <v>45537</v>
      </c>
      <c r="C128" s="2" t="s">
        <v>42</v>
      </c>
      <c r="D128" s="2" t="s">
        <v>13</v>
      </c>
      <c r="E128" s="2" t="s">
        <v>14</v>
      </c>
      <c r="F128" s="2" t="s">
        <v>15</v>
      </c>
      <c r="G128" s="2">
        <v>671.89</v>
      </c>
      <c r="H128" s="2">
        <v>-38.85</v>
      </c>
    </row>
    <row r="129" spans="1:8" x14ac:dyDescent="0.35">
      <c r="A129" s="2" t="s">
        <v>169</v>
      </c>
      <c r="B129" s="3">
        <v>45503</v>
      </c>
      <c r="C129" s="2" t="s">
        <v>38</v>
      </c>
      <c r="D129" s="2" t="s">
        <v>17</v>
      </c>
      <c r="E129" s="2" t="s">
        <v>27</v>
      </c>
      <c r="F129" s="2" t="s">
        <v>28</v>
      </c>
      <c r="G129" s="2">
        <v>100.22</v>
      </c>
      <c r="H129" s="2">
        <v>10.95</v>
      </c>
    </row>
    <row r="130" spans="1:8" x14ac:dyDescent="0.35">
      <c r="A130" s="2" t="s">
        <v>170</v>
      </c>
      <c r="B130" s="3">
        <v>45322</v>
      </c>
      <c r="C130" s="2" t="s">
        <v>82</v>
      </c>
      <c r="D130" s="2" t="s">
        <v>17</v>
      </c>
      <c r="E130" s="2" t="s">
        <v>21</v>
      </c>
      <c r="F130" s="2" t="s">
        <v>75</v>
      </c>
      <c r="G130" s="2">
        <v>0</v>
      </c>
      <c r="H130" s="2">
        <v>108.62</v>
      </c>
    </row>
    <row r="131" spans="1:8" x14ac:dyDescent="0.35">
      <c r="A131" s="2" t="s">
        <v>171</v>
      </c>
      <c r="B131" s="3">
        <v>45317</v>
      </c>
      <c r="C131" s="2" t="s">
        <v>42</v>
      </c>
      <c r="D131" s="2" t="s">
        <v>13</v>
      </c>
      <c r="E131" s="2" t="s">
        <v>14</v>
      </c>
      <c r="F131" s="2" t="s">
        <v>63</v>
      </c>
      <c r="G131" s="2">
        <v>884.58</v>
      </c>
      <c r="H131" s="2">
        <v>89.72</v>
      </c>
    </row>
    <row r="132" spans="1:8" x14ac:dyDescent="0.35">
      <c r="A132" s="2" t="s">
        <v>172</v>
      </c>
      <c r="B132" s="3">
        <v>45356</v>
      </c>
      <c r="C132" s="2" t="s">
        <v>33</v>
      </c>
      <c r="D132" s="2" t="s">
        <v>17</v>
      </c>
      <c r="E132" s="2" t="s">
        <v>18</v>
      </c>
      <c r="F132" s="2" t="s">
        <v>34</v>
      </c>
      <c r="G132" s="2">
        <v>1117.74</v>
      </c>
      <c r="H132" s="2">
        <v>126.35</v>
      </c>
    </row>
    <row r="133" spans="1:8" x14ac:dyDescent="0.35">
      <c r="A133" s="2" t="s">
        <v>173</v>
      </c>
      <c r="B133" s="3">
        <v>45342</v>
      </c>
      <c r="C133" s="2" t="s">
        <v>33</v>
      </c>
      <c r="D133" s="2" t="s">
        <v>9</v>
      </c>
      <c r="E133" s="2" t="s">
        <v>78</v>
      </c>
      <c r="F133" s="2" t="s">
        <v>79</v>
      </c>
      <c r="G133" s="2">
        <v>1422.43</v>
      </c>
      <c r="H133" s="2">
        <v>-65.58</v>
      </c>
    </row>
    <row r="134" spans="1:8" x14ac:dyDescent="0.35">
      <c r="A134" s="2" t="s">
        <v>174</v>
      </c>
      <c r="B134" s="3">
        <v>45533</v>
      </c>
      <c r="C134" s="2" t="s">
        <v>38</v>
      </c>
      <c r="D134" s="2" t="s">
        <v>9</v>
      </c>
      <c r="E134" s="2" t="s">
        <v>10</v>
      </c>
      <c r="F134" s="2" t="s">
        <v>40</v>
      </c>
      <c r="G134" s="2">
        <v>57.04</v>
      </c>
      <c r="H134" s="2">
        <v>16.66</v>
      </c>
    </row>
    <row r="135" spans="1:8" x14ac:dyDescent="0.35">
      <c r="A135" s="2" t="s">
        <v>175</v>
      </c>
      <c r="B135" s="3">
        <v>45505</v>
      </c>
      <c r="C135" s="2" t="s">
        <v>33</v>
      </c>
      <c r="D135" s="2" t="s">
        <v>9</v>
      </c>
      <c r="E135" s="2" t="s">
        <v>30</v>
      </c>
      <c r="F135" s="2" t="s">
        <v>31</v>
      </c>
      <c r="G135" s="2">
        <v>448.48</v>
      </c>
      <c r="H135" s="2">
        <v>23.55</v>
      </c>
    </row>
    <row r="136" spans="1:8" x14ac:dyDescent="0.35">
      <c r="A136" s="2" t="s">
        <v>176</v>
      </c>
      <c r="B136" s="3">
        <v>45327</v>
      </c>
      <c r="C136" s="2" t="s">
        <v>82</v>
      </c>
      <c r="D136" s="2" t="s">
        <v>13</v>
      </c>
      <c r="E136" s="2" t="s">
        <v>46</v>
      </c>
      <c r="F136" s="2" t="s">
        <v>61</v>
      </c>
      <c r="G136" s="2">
        <v>900.65</v>
      </c>
      <c r="H136" s="2">
        <v>168.97</v>
      </c>
    </row>
    <row r="137" spans="1:8" x14ac:dyDescent="0.35">
      <c r="A137" s="2" t="s">
        <v>177</v>
      </c>
      <c r="B137" s="3">
        <v>45368</v>
      </c>
      <c r="C137" s="2" t="s">
        <v>82</v>
      </c>
      <c r="D137" s="2" t="s">
        <v>17</v>
      </c>
      <c r="E137" s="2" t="s">
        <v>27</v>
      </c>
      <c r="F137" s="2" t="s">
        <v>55</v>
      </c>
      <c r="G137" s="2">
        <v>1364.45</v>
      </c>
      <c r="H137" s="2">
        <v>359.28</v>
      </c>
    </row>
    <row r="138" spans="1:8" x14ac:dyDescent="0.35">
      <c r="A138" s="2" t="s">
        <v>178</v>
      </c>
      <c r="B138" s="3">
        <v>45298</v>
      </c>
      <c r="C138" s="2" t="s">
        <v>38</v>
      </c>
      <c r="D138" s="2" t="s">
        <v>9</v>
      </c>
      <c r="E138" s="2" t="s">
        <v>10</v>
      </c>
      <c r="F138" s="2" t="s">
        <v>11</v>
      </c>
      <c r="G138" s="2">
        <v>1277.3699999999999</v>
      </c>
      <c r="H138" s="2">
        <v>333.6</v>
      </c>
    </row>
    <row r="139" spans="1:8" x14ac:dyDescent="0.35">
      <c r="A139" s="2" t="s">
        <v>179</v>
      </c>
      <c r="B139" s="3">
        <v>45390</v>
      </c>
      <c r="C139" s="2" t="s">
        <v>33</v>
      </c>
      <c r="D139" s="2" t="s">
        <v>13</v>
      </c>
      <c r="E139" s="2" t="s">
        <v>24</v>
      </c>
      <c r="F139" s="2" t="s">
        <v>25</v>
      </c>
      <c r="G139" s="2">
        <v>340.25</v>
      </c>
      <c r="H139" s="2">
        <v>31.34</v>
      </c>
    </row>
    <row r="140" spans="1:8" x14ac:dyDescent="0.35">
      <c r="A140" s="2" t="s">
        <v>180</v>
      </c>
      <c r="B140" s="3">
        <v>45526</v>
      </c>
      <c r="C140" s="2" t="s">
        <v>82</v>
      </c>
      <c r="D140" s="2" t="s">
        <v>9</v>
      </c>
      <c r="E140" s="2" t="s">
        <v>10</v>
      </c>
      <c r="F140" s="2" t="s">
        <v>11</v>
      </c>
      <c r="G140" s="2">
        <v>487.94</v>
      </c>
      <c r="H140" s="2">
        <v>110.24</v>
      </c>
    </row>
    <row r="141" spans="1:8" x14ac:dyDescent="0.35">
      <c r="A141" s="2" t="s">
        <v>181</v>
      </c>
      <c r="B141" s="3">
        <v>45427</v>
      </c>
      <c r="C141" s="2" t="s">
        <v>82</v>
      </c>
      <c r="D141" s="2" t="s">
        <v>13</v>
      </c>
      <c r="E141" s="2" t="s">
        <v>14</v>
      </c>
      <c r="F141" s="2" t="s">
        <v>63</v>
      </c>
      <c r="G141" s="2">
        <v>800.96</v>
      </c>
      <c r="H141" s="2">
        <v>122.78</v>
      </c>
    </row>
    <row r="142" spans="1:8" x14ac:dyDescent="0.35">
      <c r="A142" s="2" t="s">
        <v>182</v>
      </c>
      <c r="B142" s="3">
        <v>45323</v>
      </c>
      <c r="C142" s="2" t="s">
        <v>42</v>
      </c>
      <c r="D142" s="2" t="s">
        <v>9</v>
      </c>
      <c r="E142" s="2" t="s">
        <v>30</v>
      </c>
      <c r="F142" s="2" t="s">
        <v>57</v>
      </c>
      <c r="G142" s="2">
        <v>1497.91</v>
      </c>
      <c r="H142" s="2">
        <v>409.9</v>
      </c>
    </row>
    <row r="143" spans="1:8" x14ac:dyDescent="0.35">
      <c r="A143" s="2" t="s">
        <v>183</v>
      </c>
      <c r="B143" s="3">
        <v>45382</v>
      </c>
      <c r="C143" s="2" t="s">
        <v>82</v>
      </c>
      <c r="D143" s="2" t="s">
        <v>17</v>
      </c>
      <c r="E143" s="2" t="s">
        <v>27</v>
      </c>
      <c r="F143" s="2" t="s">
        <v>55</v>
      </c>
      <c r="G143" s="2">
        <v>1427.91</v>
      </c>
      <c r="H143" s="2">
        <v>234.14</v>
      </c>
    </row>
    <row r="144" spans="1:8" x14ac:dyDescent="0.35">
      <c r="A144" s="2" t="s">
        <v>184</v>
      </c>
      <c r="B144" s="3">
        <v>45522</v>
      </c>
      <c r="C144" s="2" t="s">
        <v>38</v>
      </c>
      <c r="D144" s="2" t="s">
        <v>9</v>
      </c>
      <c r="E144" s="2" t="s">
        <v>10</v>
      </c>
      <c r="F144" s="2" t="s">
        <v>11</v>
      </c>
      <c r="G144" s="2">
        <v>403.6</v>
      </c>
      <c r="H144" s="2">
        <v>-10.65</v>
      </c>
    </row>
    <row r="145" spans="1:8" x14ac:dyDescent="0.35">
      <c r="A145" s="2" t="s">
        <v>185</v>
      </c>
      <c r="B145" s="3">
        <v>45513</v>
      </c>
      <c r="C145" s="2" t="s">
        <v>38</v>
      </c>
      <c r="D145" s="2" t="s">
        <v>17</v>
      </c>
      <c r="E145" s="2" t="s">
        <v>21</v>
      </c>
      <c r="F145" s="2" t="s">
        <v>75</v>
      </c>
      <c r="G145" s="2">
        <v>0</v>
      </c>
      <c r="H145" s="2">
        <v>35.74</v>
      </c>
    </row>
    <row r="146" spans="1:8" x14ac:dyDescent="0.35">
      <c r="A146" s="2" t="s">
        <v>186</v>
      </c>
      <c r="B146" s="3">
        <v>45441</v>
      </c>
      <c r="C146" s="2" t="s">
        <v>42</v>
      </c>
      <c r="D146" s="2" t="s">
        <v>9</v>
      </c>
      <c r="E146" s="2" t="s">
        <v>30</v>
      </c>
      <c r="F146" s="2" t="s">
        <v>31</v>
      </c>
      <c r="G146" s="2">
        <v>0</v>
      </c>
      <c r="H146" s="2">
        <v>-0.41</v>
      </c>
    </row>
    <row r="147" spans="1:8" x14ac:dyDescent="0.35">
      <c r="A147" s="2" t="s">
        <v>187</v>
      </c>
      <c r="B147" s="3">
        <v>45504</v>
      </c>
      <c r="C147" s="2" t="s">
        <v>38</v>
      </c>
      <c r="D147" s="2" t="s">
        <v>13</v>
      </c>
      <c r="E147" s="2" t="s">
        <v>24</v>
      </c>
      <c r="F147" s="2" t="s">
        <v>25</v>
      </c>
      <c r="G147" s="2">
        <v>989.28</v>
      </c>
      <c r="H147" s="2">
        <v>263.99</v>
      </c>
    </row>
    <row r="148" spans="1:8" x14ac:dyDescent="0.35">
      <c r="A148" s="2" t="s">
        <v>188</v>
      </c>
      <c r="B148" s="3">
        <v>45540</v>
      </c>
      <c r="C148" s="2" t="s">
        <v>33</v>
      </c>
      <c r="D148" s="2" t="s">
        <v>13</v>
      </c>
      <c r="E148" s="2" t="s">
        <v>46</v>
      </c>
      <c r="F148" s="2" t="s">
        <v>47</v>
      </c>
      <c r="G148" s="2">
        <v>337.07</v>
      </c>
      <c r="H148" s="2">
        <v>-28.26</v>
      </c>
    </row>
    <row r="149" spans="1:8" x14ac:dyDescent="0.35">
      <c r="A149" s="2" t="s">
        <v>189</v>
      </c>
      <c r="B149" s="3">
        <v>45576</v>
      </c>
      <c r="C149" s="2" t="s">
        <v>33</v>
      </c>
      <c r="D149" s="2" t="s">
        <v>9</v>
      </c>
      <c r="E149" s="2" t="s">
        <v>30</v>
      </c>
      <c r="F149" s="2" t="s">
        <v>31</v>
      </c>
      <c r="G149" s="2">
        <v>35.020000000000003</v>
      </c>
      <c r="H149" s="2">
        <v>11.35</v>
      </c>
    </row>
    <row r="150" spans="1:8" x14ac:dyDescent="0.35">
      <c r="A150" s="2" t="s">
        <v>190</v>
      </c>
      <c r="B150" s="3">
        <v>45548</v>
      </c>
      <c r="C150" s="2" t="s">
        <v>38</v>
      </c>
      <c r="D150" s="2" t="s">
        <v>13</v>
      </c>
      <c r="E150" s="2" t="s">
        <v>24</v>
      </c>
      <c r="F150" s="2" t="s">
        <v>44</v>
      </c>
      <c r="G150" s="2">
        <v>1147.7</v>
      </c>
      <c r="H150" s="2">
        <v>119.18</v>
      </c>
    </row>
    <row r="151" spans="1:8" x14ac:dyDescent="0.35">
      <c r="A151" s="2" t="s">
        <v>191</v>
      </c>
      <c r="B151" s="3">
        <v>45576</v>
      </c>
      <c r="C151" s="2" t="s">
        <v>42</v>
      </c>
      <c r="D151" s="2" t="s">
        <v>13</v>
      </c>
      <c r="E151" s="2" t="s">
        <v>14</v>
      </c>
      <c r="F151" s="2" t="s">
        <v>15</v>
      </c>
      <c r="G151" s="2">
        <v>1142.08</v>
      </c>
      <c r="H151" s="2">
        <v>223.05</v>
      </c>
    </row>
    <row r="152" spans="1:8" x14ac:dyDescent="0.35">
      <c r="A152" s="2" t="s">
        <v>192</v>
      </c>
      <c r="B152" s="3">
        <v>45373</v>
      </c>
      <c r="C152" s="2" t="s">
        <v>38</v>
      </c>
      <c r="D152" s="2" t="s">
        <v>17</v>
      </c>
      <c r="E152" s="2" t="s">
        <v>21</v>
      </c>
      <c r="F152" s="2" t="s">
        <v>75</v>
      </c>
      <c r="G152" s="2">
        <v>1192.28</v>
      </c>
      <c r="H152" s="2">
        <v>72.819999999999993</v>
      </c>
    </row>
    <row r="153" spans="1:8" x14ac:dyDescent="0.35">
      <c r="A153" s="2" t="s">
        <v>193</v>
      </c>
      <c r="B153" s="3">
        <v>45487</v>
      </c>
      <c r="C153" s="2" t="s">
        <v>82</v>
      </c>
      <c r="D153" s="2" t="s">
        <v>17</v>
      </c>
      <c r="E153" s="2" t="s">
        <v>18</v>
      </c>
      <c r="F153" s="2" t="s">
        <v>19</v>
      </c>
      <c r="G153" s="2">
        <v>1492.05</v>
      </c>
      <c r="H153" s="2">
        <v>172</v>
      </c>
    </row>
    <row r="154" spans="1:8" x14ac:dyDescent="0.35">
      <c r="A154" s="2" t="s">
        <v>194</v>
      </c>
      <c r="B154" s="3">
        <v>45405</v>
      </c>
      <c r="C154" s="2" t="s">
        <v>38</v>
      </c>
      <c r="D154" s="2" t="s">
        <v>17</v>
      </c>
      <c r="E154" s="2" t="s">
        <v>21</v>
      </c>
      <c r="F154" s="2" t="s">
        <v>22</v>
      </c>
      <c r="G154" s="2">
        <v>618.51</v>
      </c>
      <c r="H154" s="2">
        <v>-17.53</v>
      </c>
    </row>
    <row r="155" spans="1:8" x14ac:dyDescent="0.35">
      <c r="A155" s="2" t="s">
        <v>195</v>
      </c>
      <c r="B155" s="3">
        <v>45532</v>
      </c>
      <c r="C155" s="2" t="s">
        <v>42</v>
      </c>
      <c r="D155" s="2" t="s">
        <v>13</v>
      </c>
      <c r="E155" s="2" t="s">
        <v>46</v>
      </c>
      <c r="F155" s="2" t="s">
        <v>61</v>
      </c>
      <c r="G155" s="2">
        <v>788.07</v>
      </c>
      <c r="H155" s="2">
        <v>56.04</v>
      </c>
    </row>
    <row r="156" spans="1:8" x14ac:dyDescent="0.35">
      <c r="A156" s="2" t="s">
        <v>196</v>
      </c>
      <c r="B156" s="3">
        <v>45427</v>
      </c>
      <c r="C156" s="2" t="s">
        <v>33</v>
      </c>
      <c r="D156" s="2" t="s">
        <v>9</v>
      </c>
      <c r="E156" s="2" t="s">
        <v>10</v>
      </c>
      <c r="F156" s="2" t="s">
        <v>40</v>
      </c>
      <c r="G156" s="2">
        <v>1185.99</v>
      </c>
      <c r="H156" s="2">
        <v>192.76</v>
      </c>
    </row>
    <row r="157" spans="1:8" x14ac:dyDescent="0.35">
      <c r="A157" s="2" t="s">
        <v>197</v>
      </c>
      <c r="B157" s="3">
        <v>45459</v>
      </c>
      <c r="C157" s="2" t="s">
        <v>38</v>
      </c>
      <c r="D157" s="2" t="s">
        <v>17</v>
      </c>
      <c r="E157" s="2" t="s">
        <v>18</v>
      </c>
      <c r="F157" s="2" t="s">
        <v>19</v>
      </c>
      <c r="G157" s="2">
        <v>333.26</v>
      </c>
      <c r="H157" s="2">
        <v>4.47</v>
      </c>
    </row>
    <row r="158" spans="1:8" x14ac:dyDescent="0.35">
      <c r="A158" s="2" t="s">
        <v>198</v>
      </c>
      <c r="B158" s="3">
        <v>45559</v>
      </c>
      <c r="C158" s="2" t="s">
        <v>38</v>
      </c>
      <c r="D158" s="2" t="s">
        <v>13</v>
      </c>
      <c r="E158" s="2" t="s">
        <v>24</v>
      </c>
      <c r="F158" s="2" t="s">
        <v>25</v>
      </c>
      <c r="G158" s="2">
        <v>582.96</v>
      </c>
      <c r="H158" s="2">
        <v>177.37</v>
      </c>
    </row>
    <row r="159" spans="1:8" x14ac:dyDescent="0.35">
      <c r="A159" s="2" t="s">
        <v>199</v>
      </c>
      <c r="B159" s="3">
        <v>45497</v>
      </c>
      <c r="C159" s="2" t="s">
        <v>42</v>
      </c>
      <c r="D159" s="2" t="s">
        <v>9</v>
      </c>
      <c r="E159" s="2" t="s">
        <v>10</v>
      </c>
      <c r="F159" s="2" t="s">
        <v>40</v>
      </c>
      <c r="G159" s="2">
        <v>747.78</v>
      </c>
      <c r="H159" s="2">
        <v>103.58</v>
      </c>
    </row>
    <row r="160" spans="1:8" x14ac:dyDescent="0.35">
      <c r="A160" s="2" t="s">
        <v>200</v>
      </c>
      <c r="B160" s="3">
        <v>45431</v>
      </c>
      <c r="C160" s="2" t="s">
        <v>82</v>
      </c>
      <c r="D160" s="2" t="s">
        <v>17</v>
      </c>
      <c r="E160" s="2" t="s">
        <v>21</v>
      </c>
      <c r="F160" s="2" t="s">
        <v>75</v>
      </c>
      <c r="G160" s="2">
        <v>437</v>
      </c>
      <c r="H160" s="2">
        <v>-19.53</v>
      </c>
    </row>
    <row r="161" spans="1:8" x14ac:dyDescent="0.35">
      <c r="A161" s="2" t="s">
        <v>201</v>
      </c>
      <c r="B161" s="3">
        <v>45483</v>
      </c>
      <c r="C161" s="2" t="s">
        <v>42</v>
      </c>
      <c r="D161" s="2" t="s">
        <v>9</v>
      </c>
      <c r="E161" s="2" t="s">
        <v>78</v>
      </c>
      <c r="F161" s="2" t="s">
        <v>83</v>
      </c>
      <c r="G161" s="2">
        <v>1431.32</v>
      </c>
      <c r="H161" s="2">
        <v>276.83</v>
      </c>
    </row>
    <row r="162" spans="1:8" x14ac:dyDescent="0.35">
      <c r="A162" s="2" t="s">
        <v>202</v>
      </c>
      <c r="B162" s="3">
        <v>45459</v>
      </c>
      <c r="C162" s="2" t="s">
        <v>33</v>
      </c>
      <c r="D162" s="2" t="s">
        <v>17</v>
      </c>
      <c r="E162" s="2" t="s">
        <v>21</v>
      </c>
      <c r="F162" s="2" t="s">
        <v>22</v>
      </c>
      <c r="G162" s="2">
        <v>1126.27</v>
      </c>
      <c r="H162" s="2">
        <v>-70.03</v>
      </c>
    </row>
    <row r="163" spans="1:8" x14ac:dyDescent="0.35">
      <c r="A163" s="2" t="s">
        <v>203</v>
      </c>
      <c r="B163" s="3">
        <v>45376</v>
      </c>
      <c r="C163" s="2" t="s">
        <v>82</v>
      </c>
      <c r="D163" s="2" t="s">
        <v>9</v>
      </c>
      <c r="E163" s="2" t="s">
        <v>30</v>
      </c>
      <c r="F163" s="2" t="s">
        <v>31</v>
      </c>
      <c r="G163" s="2">
        <v>400.32</v>
      </c>
      <c r="H163" s="2">
        <v>105.02</v>
      </c>
    </row>
    <row r="164" spans="1:8" x14ac:dyDescent="0.35">
      <c r="A164" s="2" t="s">
        <v>204</v>
      </c>
      <c r="B164" s="3">
        <v>45486</v>
      </c>
      <c r="C164" s="2" t="s">
        <v>38</v>
      </c>
      <c r="D164" s="2" t="s">
        <v>9</v>
      </c>
      <c r="E164" s="2" t="s">
        <v>10</v>
      </c>
      <c r="F164" s="2" t="s">
        <v>40</v>
      </c>
      <c r="G164" s="2">
        <v>808.22</v>
      </c>
      <c r="H164" s="2">
        <v>-28.24</v>
      </c>
    </row>
    <row r="165" spans="1:8" x14ac:dyDescent="0.35">
      <c r="A165" s="2" t="s">
        <v>205</v>
      </c>
      <c r="B165" s="3">
        <v>45504</v>
      </c>
      <c r="C165" s="2" t="s">
        <v>82</v>
      </c>
      <c r="D165" s="2" t="s">
        <v>13</v>
      </c>
      <c r="E165" s="2" t="s">
        <v>14</v>
      </c>
      <c r="F165" s="2" t="s">
        <v>15</v>
      </c>
      <c r="G165" s="2">
        <v>1255.3900000000001</v>
      </c>
      <c r="H165" s="2">
        <v>426.99</v>
      </c>
    </row>
    <row r="166" spans="1:8" x14ac:dyDescent="0.35">
      <c r="A166" s="2" t="s">
        <v>206</v>
      </c>
      <c r="B166" s="3">
        <v>45518</v>
      </c>
      <c r="C166" s="2" t="s">
        <v>42</v>
      </c>
      <c r="D166" s="2" t="s">
        <v>17</v>
      </c>
      <c r="E166" s="2" t="s">
        <v>18</v>
      </c>
      <c r="F166" s="2" t="s">
        <v>19</v>
      </c>
      <c r="G166" s="2">
        <v>926.73</v>
      </c>
      <c r="H166" s="2">
        <v>194.28</v>
      </c>
    </row>
    <row r="167" spans="1:8" x14ac:dyDescent="0.35">
      <c r="A167" s="2" t="s">
        <v>207</v>
      </c>
      <c r="B167" s="3">
        <v>45512</v>
      </c>
      <c r="C167" s="2" t="s">
        <v>82</v>
      </c>
      <c r="D167" s="2" t="s">
        <v>17</v>
      </c>
      <c r="E167" s="2" t="s">
        <v>18</v>
      </c>
      <c r="F167" s="2" t="s">
        <v>34</v>
      </c>
      <c r="G167" s="2">
        <v>208.62</v>
      </c>
      <c r="H167" s="2">
        <v>0.86</v>
      </c>
    </row>
    <row r="168" spans="1:8" x14ac:dyDescent="0.35">
      <c r="A168" s="2" t="s">
        <v>208</v>
      </c>
      <c r="B168" s="3">
        <v>45431</v>
      </c>
      <c r="C168" s="2" t="s">
        <v>82</v>
      </c>
      <c r="D168" s="2" t="s">
        <v>13</v>
      </c>
      <c r="E168" s="2" t="s">
        <v>46</v>
      </c>
      <c r="F168" s="2" t="s">
        <v>61</v>
      </c>
      <c r="G168" s="2">
        <v>675.81</v>
      </c>
      <c r="H168" s="2">
        <v>41.91</v>
      </c>
    </row>
    <row r="169" spans="1:8" x14ac:dyDescent="0.35">
      <c r="A169" s="2" t="s">
        <v>209</v>
      </c>
      <c r="B169" s="3">
        <v>45584</v>
      </c>
      <c r="C169" s="2" t="s">
        <v>38</v>
      </c>
      <c r="D169" s="2" t="s">
        <v>17</v>
      </c>
      <c r="E169" s="2" t="s">
        <v>21</v>
      </c>
      <c r="F169" s="2" t="s">
        <v>22</v>
      </c>
      <c r="G169" s="2">
        <v>0</v>
      </c>
      <c r="H169" s="2">
        <v>-1.1399999999999999</v>
      </c>
    </row>
    <row r="170" spans="1:8" x14ac:dyDescent="0.35">
      <c r="A170" s="2" t="s">
        <v>210</v>
      </c>
      <c r="B170" s="3">
        <v>45451</v>
      </c>
      <c r="C170" s="2" t="s">
        <v>82</v>
      </c>
      <c r="D170" s="2" t="s">
        <v>13</v>
      </c>
      <c r="E170" s="2" t="s">
        <v>24</v>
      </c>
      <c r="F170" s="2" t="s">
        <v>25</v>
      </c>
      <c r="G170" s="2">
        <v>610.51</v>
      </c>
      <c r="H170" s="2">
        <v>113.46</v>
      </c>
    </row>
    <row r="171" spans="1:8" x14ac:dyDescent="0.35">
      <c r="A171" s="2" t="s">
        <v>211</v>
      </c>
      <c r="B171" s="3">
        <v>45509</v>
      </c>
      <c r="C171" s="2" t="s">
        <v>33</v>
      </c>
      <c r="D171" s="2" t="s">
        <v>13</v>
      </c>
      <c r="E171" s="2" t="s">
        <v>24</v>
      </c>
      <c r="F171" s="2" t="s">
        <v>44</v>
      </c>
      <c r="G171" s="2">
        <v>1495.01</v>
      </c>
      <c r="H171" s="2">
        <v>187.17</v>
      </c>
    </row>
    <row r="172" spans="1:8" x14ac:dyDescent="0.35">
      <c r="A172" s="2" t="s">
        <v>212</v>
      </c>
      <c r="B172" s="3">
        <v>45342</v>
      </c>
      <c r="C172" s="2" t="s">
        <v>38</v>
      </c>
      <c r="D172" s="2" t="s">
        <v>9</v>
      </c>
      <c r="E172" s="2" t="s">
        <v>30</v>
      </c>
      <c r="F172" s="2" t="s">
        <v>57</v>
      </c>
      <c r="G172" s="2">
        <v>109.71</v>
      </c>
      <c r="H172" s="2">
        <v>23.49</v>
      </c>
    </row>
    <row r="173" spans="1:8" x14ac:dyDescent="0.35">
      <c r="A173" s="2" t="s">
        <v>213</v>
      </c>
      <c r="B173" s="3">
        <v>45466</v>
      </c>
      <c r="C173" s="2" t="s">
        <v>42</v>
      </c>
      <c r="D173" s="2" t="s">
        <v>13</v>
      </c>
      <c r="E173" s="2" t="s">
        <v>24</v>
      </c>
      <c r="F173" s="2" t="s">
        <v>44</v>
      </c>
      <c r="G173" s="2">
        <v>185.1</v>
      </c>
      <c r="H173" s="2">
        <v>12.47</v>
      </c>
    </row>
    <row r="174" spans="1:8" x14ac:dyDescent="0.35">
      <c r="A174" s="2" t="s">
        <v>214</v>
      </c>
      <c r="B174" s="3">
        <v>45437</v>
      </c>
      <c r="C174" s="2" t="s">
        <v>82</v>
      </c>
      <c r="D174" s="2" t="s">
        <v>17</v>
      </c>
      <c r="E174" s="2" t="s">
        <v>21</v>
      </c>
      <c r="F174" s="2" t="s">
        <v>22</v>
      </c>
      <c r="G174" s="2">
        <v>253.47</v>
      </c>
      <c r="H174" s="2">
        <v>67.64</v>
      </c>
    </row>
    <row r="175" spans="1:8" x14ac:dyDescent="0.35">
      <c r="A175" s="2" t="s">
        <v>215</v>
      </c>
      <c r="B175" s="3">
        <v>45525</v>
      </c>
      <c r="C175" s="2" t="s">
        <v>33</v>
      </c>
      <c r="D175" s="2" t="s">
        <v>9</v>
      </c>
      <c r="E175" s="2" t="s">
        <v>30</v>
      </c>
      <c r="F175" s="2" t="s">
        <v>31</v>
      </c>
      <c r="G175" s="2">
        <v>1271.05</v>
      </c>
      <c r="H175" s="2">
        <v>-64.05</v>
      </c>
    </row>
    <row r="176" spans="1:8" x14ac:dyDescent="0.35">
      <c r="A176" s="2" t="s">
        <v>216</v>
      </c>
      <c r="B176" s="3">
        <v>45569</v>
      </c>
      <c r="C176" s="2" t="s">
        <v>38</v>
      </c>
      <c r="D176" s="2" t="s">
        <v>13</v>
      </c>
      <c r="E176" s="2" t="s">
        <v>24</v>
      </c>
      <c r="F176" s="2" t="s">
        <v>44</v>
      </c>
      <c r="G176" s="2">
        <v>73.13</v>
      </c>
      <c r="H176" s="2">
        <v>-8.4700000000000006</v>
      </c>
    </row>
    <row r="177" spans="1:8" x14ac:dyDescent="0.35">
      <c r="A177" s="2" t="s">
        <v>217</v>
      </c>
      <c r="B177" s="3">
        <v>45350</v>
      </c>
      <c r="C177" s="2" t="s">
        <v>38</v>
      </c>
      <c r="D177" s="2" t="s">
        <v>13</v>
      </c>
      <c r="E177" s="2" t="s">
        <v>14</v>
      </c>
      <c r="F177" s="2" t="s">
        <v>63</v>
      </c>
      <c r="G177" s="2">
        <v>1282.1300000000001</v>
      </c>
      <c r="H177" s="2">
        <v>224.96</v>
      </c>
    </row>
    <row r="178" spans="1:8" x14ac:dyDescent="0.35">
      <c r="A178" s="2" t="s">
        <v>218</v>
      </c>
      <c r="B178" s="3">
        <v>45416</v>
      </c>
      <c r="C178" s="2" t="s">
        <v>33</v>
      </c>
      <c r="D178" s="2" t="s">
        <v>17</v>
      </c>
      <c r="E178" s="2" t="s">
        <v>18</v>
      </c>
      <c r="F178" s="2" t="s">
        <v>19</v>
      </c>
      <c r="G178" s="2">
        <v>1130.7</v>
      </c>
      <c r="H178" s="2">
        <v>152.56</v>
      </c>
    </row>
    <row r="179" spans="1:8" x14ac:dyDescent="0.35">
      <c r="A179" s="2" t="s">
        <v>219</v>
      </c>
      <c r="B179" s="3">
        <v>45487</v>
      </c>
      <c r="C179" s="2" t="s">
        <v>82</v>
      </c>
      <c r="D179" s="2" t="s">
        <v>17</v>
      </c>
      <c r="E179" s="2" t="s">
        <v>27</v>
      </c>
      <c r="F179" s="2" t="s">
        <v>55</v>
      </c>
      <c r="G179" s="2">
        <v>1310.81</v>
      </c>
      <c r="H179" s="2">
        <v>366.1</v>
      </c>
    </row>
    <row r="180" spans="1:8" x14ac:dyDescent="0.35">
      <c r="A180" s="2" t="s">
        <v>220</v>
      </c>
      <c r="B180" s="3">
        <v>45468</v>
      </c>
      <c r="C180" s="2" t="s">
        <v>38</v>
      </c>
      <c r="D180" s="2" t="s">
        <v>9</v>
      </c>
      <c r="E180" s="2" t="s">
        <v>10</v>
      </c>
      <c r="F180" s="2" t="s">
        <v>40</v>
      </c>
      <c r="G180" s="2">
        <v>656.27</v>
      </c>
      <c r="H180" s="2">
        <v>-5.5</v>
      </c>
    </row>
    <row r="181" spans="1:8" x14ac:dyDescent="0.35">
      <c r="A181" s="2" t="s">
        <v>221</v>
      </c>
      <c r="B181" s="3">
        <v>45592</v>
      </c>
      <c r="C181" s="2" t="s">
        <v>82</v>
      </c>
      <c r="D181" s="2" t="s">
        <v>17</v>
      </c>
      <c r="E181" s="2" t="s">
        <v>21</v>
      </c>
      <c r="F181" s="2" t="s">
        <v>75</v>
      </c>
      <c r="G181" s="2">
        <v>339.61</v>
      </c>
      <c r="H181" s="2">
        <v>96.74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topLeftCell="A2" workbookViewId="0">
      <selection activeCell="B10" sqref="B10"/>
    </sheetView>
  </sheetViews>
  <sheetFormatPr defaultRowHeight="14.5" x14ac:dyDescent="0.35"/>
  <cols>
    <col min="1" max="1" width="22" customWidth="1"/>
    <col min="2" max="2" width="18" customWidth="1"/>
  </cols>
  <sheetData>
    <row r="1" spans="1:2" x14ac:dyDescent="0.35">
      <c r="A1" s="1" t="s">
        <v>5</v>
      </c>
      <c r="B1" s="1" t="s">
        <v>3</v>
      </c>
    </row>
    <row r="2" spans="1:2" x14ac:dyDescent="0.35">
      <c r="A2" s="2" t="s">
        <v>75</v>
      </c>
      <c r="B2" s="2" t="s">
        <v>17</v>
      </c>
    </row>
    <row r="3" spans="1:2" x14ac:dyDescent="0.35">
      <c r="A3" s="2" t="s">
        <v>22</v>
      </c>
      <c r="B3" s="2" t="s">
        <v>17</v>
      </c>
    </row>
    <row r="4" spans="1:2" x14ac:dyDescent="0.35">
      <c r="A4" s="2" t="s">
        <v>34</v>
      </c>
      <c r="B4" s="2" t="s">
        <v>17</v>
      </c>
    </row>
    <row r="5" spans="1:2" x14ac:dyDescent="0.35">
      <c r="A5" s="2" t="s">
        <v>19</v>
      </c>
      <c r="B5" s="2" t="s">
        <v>17</v>
      </c>
    </row>
    <row r="6" spans="1:2" x14ac:dyDescent="0.35">
      <c r="A6" s="2" t="s">
        <v>55</v>
      </c>
      <c r="B6" s="2" t="s">
        <v>17</v>
      </c>
    </row>
    <row r="7" spans="1:2" x14ac:dyDescent="0.35">
      <c r="A7" s="2" t="s">
        <v>28</v>
      </c>
      <c r="B7" s="2" t="s">
        <v>17</v>
      </c>
    </row>
    <row r="8" spans="1:2" x14ac:dyDescent="0.35">
      <c r="A8" s="2" t="s">
        <v>40</v>
      </c>
      <c r="B8" s="2" t="s">
        <v>9</v>
      </c>
    </row>
    <row r="9" spans="1:2" x14ac:dyDescent="0.35">
      <c r="A9" s="2" t="s">
        <v>11</v>
      </c>
      <c r="B9" s="2" t="s">
        <v>9</v>
      </c>
    </row>
    <row r="10" spans="1:2" x14ac:dyDescent="0.35">
      <c r="A10" s="2" t="s">
        <v>79</v>
      </c>
      <c r="B10" s="2" t="s">
        <v>9</v>
      </c>
    </row>
    <row r="11" spans="1:2" x14ac:dyDescent="0.35">
      <c r="A11" s="2" t="s">
        <v>83</v>
      </c>
      <c r="B11" s="2" t="s">
        <v>9</v>
      </c>
    </row>
    <row r="12" spans="1:2" x14ac:dyDescent="0.35">
      <c r="A12" s="2" t="s">
        <v>57</v>
      </c>
      <c r="B12" s="2" t="s">
        <v>9</v>
      </c>
    </row>
    <row r="13" spans="1:2" x14ac:dyDescent="0.35">
      <c r="A13" s="2" t="s">
        <v>31</v>
      </c>
      <c r="B13" s="2" t="s">
        <v>9</v>
      </c>
    </row>
    <row r="14" spans="1:2" x14ac:dyDescent="0.35">
      <c r="A14" s="2" t="s">
        <v>61</v>
      </c>
      <c r="B14" s="2" t="s">
        <v>13</v>
      </c>
    </row>
    <row r="15" spans="1:2" x14ac:dyDescent="0.35">
      <c r="A15" s="2" t="s">
        <v>47</v>
      </c>
      <c r="B15" s="2" t="s">
        <v>13</v>
      </c>
    </row>
    <row r="16" spans="1:2" x14ac:dyDescent="0.35">
      <c r="A16" s="2" t="s">
        <v>63</v>
      </c>
      <c r="B16" s="2" t="s">
        <v>13</v>
      </c>
    </row>
    <row r="17" spans="1:2" x14ac:dyDescent="0.35">
      <c r="A17" s="2" t="s">
        <v>15</v>
      </c>
      <c r="B17" s="2" t="s">
        <v>13</v>
      </c>
    </row>
    <row r="18" spans="1:2" x14ac:dyDescent="0.35">
      <c r="A18" s="2" t="s">
        <v>25</v>
      </c>
      <c r="B18" s="2" t="s">
        <v>13</v>
      </c>
    </row>
    <row r="19" spans="1:2" x14ac:dyDescent="0.35">
      <c r="A19" s="2" t="s">
        <v>44</v>
      </c>
      <c r="B19" s="2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3EE6C-B332-403A-825F-B7244E28DC6A}">
  <dimension ref="A3:B8"/>
  <sheetViews>
    <sheetView workbookViewId="0">
      <selection activeCell="K12" sqref="K12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5" t="s">
        <v>223</v>
      </c>
      <c r="B3" t="s">
        <v>222</v>
      </c>
    </row>
    <row r="4" spans="1:2" x14ac:dyDescent="0.35">
      <c r="A4" s="6" t="s">
        <v>42</v>
      </c>
      <c r="B4" s="4">
        <v>32889</v>
      </c>
    </row>
    <row r="5" spans="1:2" x14ac:dyDescent="0.35">
      <c r="A5" s="6" t="s">
        <v>38</v>
      </c>
      <c r="B5" s="4">
        <v>26521.979999999996</v>
      </c>
    </row>
    <row r="6" spans="1:2" x14ac:dyDescent="0.35">
      <c r="A6" s="6" t="s">
        <v>33</v>
      </c>
      <c r="B6" s="4">
        <v>39544.15</v>
      </c>
    </row>
    <row r="7" spans="1:2" x14ac:dyDescent="0.35">
      <c r="A7" s="6" t="s">
        <v>82</v>
      </c>
      <c r="B7" s="4">
        <v>33320.519999999997</v>
      </c>
    </row>
    <row r="8" spans="1:2" x14ac:dyDescent="0.35">
      <c r="A8" s="6" t="s">
        <v>224</v>
      </c>
      <c r="B8" s="4">
        <v>132275.65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C57E-E553-42AD-82CD-BA974117FD26}">
  <dimension ref="A3:C7"/>
  <sheetViews>
    <sheetView workbookViewId="0">
      <selection activeCell="E8" sqref="E8"/>
    </sheetView>
  </sheetViews>
  <sheetFormatPr defaultRowHeight="14.5" x14ac:dyDescent="0.35"/>
  <cols>
    <col min="1" max="1" width="13.1796875" bestFit="1" customWidth="1"/>
    <col min="2" max="2" width="11.81640625" bestFit="1" customWidth="1"/>
    <col min="3" max="3" width="18.36328125" bestFit="1" customWidth="1"/>
  </cols>
  <sheetData>
    <row r="3" spans="1:3" x14ac:dyDescent="0.35">
      <c r="A3" s="5" t="s">
        <v>223</v>
      </c>
      <c r="B3" t="s">
        <v>225</v>
      </c>
      <c r="C3" t="s">
        <v>236</v>
      </c>
    </row>
    <row r="4" spans="1:3" x14ac:dyDescent="0.35">
      <c r="A4" s="6" t="s">
        <v>17</v>
      </c>
      <c r="B4" s="4">
        <v>4548.4799999999977</v>
      </c>
      <c r="C4" s="7">
        <v>0.10226616615194223</v>
      </c>
    </row>
    <row r="5" spans="1:3" x14ac:dyDescent="0.35">
      <c r="A5" s="6" t="s">
        <v>9</v>
      </c>
      <c r="B5" s="4">
        <v>5236.9000000000015</v>
      </c>
      <c r="C5" s="7">
        <v>0.12094736598997673</v>
      </c>
    </row>
    <row r="6" spans="1:3" x14ac:dyDescent="0.35">
      <c r="A6" s="6" t="s">
        <v>13</v>
      </c>
      <c r="B6" s="4">
        <v>5045.8799999999992</v>
      </c>
      <c r="C6" s="7">
        <v>0.11339114786435976</v>
      </c>
    </row>
    <row r="7" spans="1:3" x14ac:dyDescent="0.35">
      <c r="A7" s="6" t="s">
        <v>224</v>
      </c>
      <c r="B7" s="4">
        <v>14831.259999999998</v>
      </c>
      <c r="C7" s="7">
        <v>0.11212388674710716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75BE9-7A6B-4E56-A61A-3CCC2529A779}">
  <dimension ref="A3:B14"/>
  <sheetViews>
    <sheetView workbookViewId="0">
      <selection activeCell="K8" sqref="K8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5" t="s">
        <v>223</v>
      </c>
      <c r="B3" t="s">
        <v>222</v>
      </c>
    </row>
    <row r="4" spans="1:2" x14ac:dyDescent="0.35">
      <c r="A4" s="6" t="s">
        <v>226</v>
      </c>
      <c r="B4" s="4">
        <v>8922.4499999999989</v>
      </c>
    </row>
    <row r="5" spans="1:2" x14ac:dyDescent="0.35">
      <c r="A5" s="6" t="s">
        <v>227</v>
      </c>
      <c r="B5" s="4">
        <v>17698.54</v>
      </c>
    </row>
    <row r="6" spans="1:2" x14ac:dyDescent="0.35">
      <c r="A6" s="6" t="s">
        <v>228</v>
      </c>
      <c r="B6" s="4">
        <v>18644.489999999998</v>
      </c>
    </row>
    <row r="7" spans="1:2" x14ac:dyDescent="0.35">
      <c r="A7" s="6" t="s">
        <v>229</v>
      </c>
      <c r="B7" s="4">
        <v>8339.56</v>
      </c>
    </row>
    <row r="8" spans="1:2" x14ac:dyDescent="0.35">
      <c r="A8" s="6" t="s">
        <v>230</v>
      </c>
      <c r="B8" s="4">
        <v>13211.710000000001</v>
      </c>
    </row>
    <row r="9" spans="1:2" x14ac:dyDescent="0.35">
      <c r="A9" s="6" t="s">
        <v>231</v>
      </c>
      <c r="B9" s="4">
        <v>13583.170000000002</v>
      </c>
    </row>
    <row r="10" spans="1:2" x14ac:dyDescent="0.35">
      <c r="A10" s="6" t="s">
        <v>232</v>
      </c>
      <c r="B10" s="4">
        <v>20236.410000000003</v>
      </c>
    </row>
    <row r="11" spans="1:2" x14ac:dyDescent="0.35">
      <c r="A11" s="6" t="s">
        <v>233</v>
      </c>
      <c r="B11" s="4">
        <v>15531.77</v>
      </c>
    </row>
    <row r="12" spans="1:2" x14ac:dyDescent="0.35">
      <c r="A12" s="6" t="s">
        <v>234</v>
      </c>
      <c r="B12" s="4">
        <v>7187.9699999999993</v>
      </c>
    </row>
    <row r="13" spans="1:2" x14ac:dyDescent="0.35">
      <c r="A13" s="6" t="s">
        <v>235</v>
      </c>
      <c r="B13" s="4">
        <v>8919.58</v>
      </c>
    </row>
    <row r="14" spans="1:2" x14ac:dyDescent="0.35">
      <c r="A14" s="6" t="s">
        <v>224</v>
      </c>
      <c r="B14" s="4">
        <v>132275.65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Product Lookup</vt:lpstr>
      <vt:lpstr>Sales by Region</vt:lpstr>
      <vt:lpstr>Profit by Category</vt:lpstr>
      <vt:lpstr>Sales by 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Danica Canlas</cp:lastModifiedBy>
  <dcterms:created xsi:type="dcterms:W3CDTF">2026-08-28T14:00:22Z</dcterms:created>
  <dcterms:modified xsi:type="dcterms:W3CDTF">2026-09-17T11:58:19Z</dcterms:modified>
</cp:coreProperties>
</file>